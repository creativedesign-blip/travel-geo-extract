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c0378af18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國家Mapping表" sheetId="1" r:id="R204de7501c144d8d"/>
    <x:sheet xmlns:r="http://schemas.openxmlformats.org/officeDocument/2006/relationships" name="弱信號排除詞庫" sheetId="2" r:id="R8d8383c9458a4f92"/>
    <x:sheet xmlns:r="http://schemas.openxmlformats.org/officeDocument/2006/relationships" name="使用說明" sheetId="3" r:id="R2537d0f7318e4de9"/>
    <x:sheet xmlns:r="http://schemas.openxmlformats.org/officeDocument/2006/relationships" name="維護設定" sheetId="4" r:id="R4a57b7bfe5df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065F46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1"/>
      <x:color rgb="134E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115E59"/>
      </x:patternFill>
    </x:fill>
    <x:fill>
      <x:patternFill patternType="solid">
        <x:fgColor rgb="7C2D12"/>
      </x:patternFill>
    </x:fill>
    <x:fill>
      <x:patternFill patternType="solid">
        <x:fgColor rgb="CCFBF1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ont>
        <x:color rgb="6B7280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1f83b42a544cc" /><Relationship Type="http://schemas.openxmlformats.org/officeDocument/2006/relationships/theme" Target="/xl/theme/theme1.xml" Id="R7e876ccd226943ce" /><Relationship Type="http://schemas.openxmlformats.org/officeDocument/2006/relationships/sharedStrings" Target="/xl/sharedStrings.xml" Id="R13482ecf559b413d" /><Relationship Type="http://schemas.openxmlformats.org/officeDocument/2006/relationships/worksheet" Target="/xl/worksheets/sheet1.xml" Id="R204de7501c144d8d" /><Relationship Type="http://schemas.openxmlformats.org/officeDocument/2006/relationships/worksheet" Target="/xl/worksheets/sheet2.xml" Id="R8d8383c9458a4f92" /><Relationship Type="http://schemas.openxmlformats.org/officeDocument/2006/relationships/worksheet" Target="/xl/worksheets/sheet3.xml" Id="R2537d0f7318e4de9" /><Relationship Type="http://schemas.openxmlformats.org/officeDocument/2006/relationships/worksheet" Target="/xl/worksheets/sheet4.xml" Id="R4a57b7bfe5df4cad" /></Relationships>
</file>

<file path=xl/tables/table1.xml><?xml version="1.0" encoding="utf-8"?>
<x:table xmlns:x="http://schemas.openxmlformats.org/spreadsheetml/2006/main" id="1" name="CountryMappingTable" displayName="CountryMappingTable" ref="A4:M45" headerRowCount="1">
  <x:tableColumns count="13">
    <x:tableColumn id="1" name="國家/地區"/>
    <x:tableColumn id="2" name="區域"/>
    <x:tableColumn id="3" name="強關鍵字（命中即可高信心）"/>
    <x:tableColumn id="4" name="要排除/降權關鍵字（不可單獨判本國）"/>
    <x:tableColumn id="5" name="排除邏輯 / 判斷說明"/>
    <x:tableColumn id="6" name="建議 AI 判斷規則"/>
    <x:tableColumn id="7" name="預設信心度"/>
    <x:tableColumn id="8" name="需人工覆核條件"/>
    <x:tableColumn id="9" name="狀態"/>
    <x:tableColumn id="10" name="最後維護日期"/>
    <x:tableColumn id="11" name="維護備註"/>
    <x:tableColumn id="12" name="強關鍵字數"/>
    <x:tableColumn id="13" name="排除詞數"/>
  </x:tableColumns>
  <x:tableStyleInfo name="TableStyleMedium2" showRowStripes="1"/>
</x:table>
</file>

<file path=xl/tables/table2.xml><?xml version="1.0" encoding="utf-8"?>
<x:table xmlns:x="http://schemas.openxmlformats.org/spreadsheetml/2006/main" id="2" name="WeakSignalTable" displayName="WeakSignalTable" ref="A1:E19" headerRowCount="1">
  <x:tableColumns count="5">
    <x:tableColumn id="1" name="弱信號/排除詞"/>
    <x:tableColumn id="2" name="不可直接判成"/>
    <x:tableColumn id="3" name="可能正確國家/地區"/>
    <x:tableColumn id="4" name="需要搭配的強信號"/>
    <x:tableColumn id="5" name="建議 AI 處理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B5" headerRowCount="1">
  <x:tableColumns count="2">
    <x:tableColumn id="1" name="欄位"/>
    <x:tableColumn id="2" name="可選值 / 說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97dbcbd1fc4b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77208c2af5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1aeb066ee147b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6" hidden="0" customWidth="1"/>
    <x:col min="4" max="4" width="34" hidden="0" customWidth="1"/>
    <x:col min="5" max="5" width="42" hidden="0" customWidth="1"/>
    <x:col min="6" max="6" width="42" hidden="0" customWidth="1"/>
    <x:col min="7" max="7" width="12" hidden="0" customWidth="1"/>
    <x:col min="8" max="8" width="36" hidden="0" customWidth="1"/>
    <x:col min="9" max="9" width="10" hidden="0" customWidth="1"/>
    <x:col min="10" max="10" width="14" hidden="0" customWidth="1"/>
    <x:col min="11" max="11" width="28" hidden="0" customWidth="1"/>
    <x:col min="12" max="12" width="12" hidden="0" customWidth="1"/>
    <x:col min="13" max="13" width="10" hidden="0" customWidth="1"/>
  </x:cols>
  <x:sheetData>
    <x:row r="1" ht="30" customHeight="1">
      <x:c r="A1" s="5" t="str">
        <x:v>旅遊 DM 國家識別 Mapping 表（一列一國家/地區）</x:v>
      </x:c>
    </x:row>
    <x:row r="2" ht="34" customHeight="1">
      <x:c r="A2" s="12" t="str">
        <x:v>用途：依國家維護強關鍵字與排除/降權關鍵字，讓 AI 先找強信號，再處理弱信號，避免被行銷文案誤判。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4" ht="36" customHeight="1">
      <x:c r="A4" s="20" t="str">
        <x:v>國家/地區</x:v>
      </x:c>
      <x:c r="B4" s="20" t="str">
        <x:v>區域</x:v>
      </x:c>
      <x:c r="C4" s="20" t="str">
        <x:v>強關鍵字（命中即可高信心）</x:v>
      </x:c>
      <x:c r="D4" s="20" t="str">
        <x:v>要排除/降權關鍵字（不可單獨判本國）</x:v>
      </x:c>
      <x:c r="E4" s="20" t="str">
        <x:v>排除邏輯 / 判斷說明</x:v>
      </x:c>
      <x:c r="F4" s="20" t="str">
        <x:v>建議 AI 判斷規則</x:v>
      </x:c>
      <x:c r="G4" s="20" t="str">
        <x:v>預設信心度</x:v>
      </x:c>
      <x:c r="H4" s="20" t="str">
        <x:v>需人工覆核條件</x:v>
      </x:c>
      <x:c r="I4" s="20" t="str">
        <x:v>狀態</x:v>
      </x:c>
      <x:c r="J4" s="20" t="str">
        <x:v>最後維護日期</x:v>
      </x:c>
      <x:c r="K4" s="20" t="str">
        <x:v>維護備註</x:v>
      </x:c>
      <x:c r="L4" s="20" t="str">
        <x:v>強關鍵字數</x:v>
      </x:c>
      <x:c r="M4" s="20" t="str">
        <x:v>排除詞數</x:v>
      </x:c>
    </x:row>
    <x:row r="5" ht="78" customHeight="1">
      <x:c r="A5" s="32" t="str">
        <x:v>日本</x:v>
      </x:c>
      <x:c r="B5" s="32" t="str">
        <x:v>東北亞</x:v>
      </x:c>
      <x:c r="C5" s="28" t="str">
        <x:v>日本、東京、大阪、京都、北海道、沖繩、富士山、河口湖、淺草寺、晴空塔、東京鐵塔、清水寺、伏見稻荷、金閣寺、奈良、道頓堀、心齋橋、USJ、小樽、函館、美麗海水族館</x:v>
      </x:c>
      <x:c r="D5" s="28" t="str">
        <x:v>小京都、小歐洲、威尼斯風、童話村、迪士尼、環球影城</x:v>
      </x:c>
      <x:c r="E5" s="28" t="str">
        <x:v>迪士尼/環球影城需搭配東京/大阪或 TDR/USJ；小京都、小歐洲等為行銷詞，不可單獨判日本。</x:v>
      </x:c>
      <x:c r="F5" s="28" t="str">
        <x:v>命中富士山、京都、大阪、北海道、沖繩、USJ 時優先判日本。</x:v>
      </x:c>
      <x:c r="G5" s="32" t="str">
        <x:v>High</x:v>
      </x:c>
      <x:c r="H5" s="32" t="str">
        <x:v>只出現迪士尼、環球影城、小京都、小歐洲等弱信號。</x:v>
      </x:c>
      <x:c r="I5" s="32" t="str">
        <x:v>啟用</x:v>
      </x:c>
      <x:c r="J5" s="32" t="str">
        <x:v>2026-05-26</x:v>
      </x:c>
      <x:c r="K5" s="28" t="str"/>
      <x:c r="L5" s="32" t="n">
        <x:f>IF(TRIM(C5)="",0,LEN(C5)-LEN(SUBSTITUTE(C5,"、",""))+1)</x:f>
        <x:v>21</x:v>
      </x:c>
      <x:c r="M5" s="32" t="n">
        <x:f>IF(TRIM(D5)="",0,LEN(D5)-LEN(SUBSTITUTE(D5,"、",""))+1)</x:f>
        <x:v>6</x:v>
      </x:c>
    </x:row>
    <x:row r="6" ht="78" customHeight="1">
      <x:c r="A6" s="32" t="str">
        <x:v>韓國</x:v>
      </x:c>
      <x:c r="B6" s="32" t="str">
        <x:v>東北亞</x:v>
      </x:c>
      <x:c r="C6" s="28" t="str">
        <x:v>韓國、首爾、釜山、濟州、明洞、弘大、東大門、景福宮、北村韓屋村、南山塔、樂天世界、愛寶樂園、海雲台、甘川洞、城山日出峰、牛島、漢拏山、南怡島、小法國村</x:v>
      </x:c>
      <x:c r="D6" s="28" t="str">
        <x:v>小法國、瑞士村、歐風小鎮、藍白村、韓劇場景</x:v>
      </x:c>
      <x:c r="E6" s="28" t="str">
        <x:v>小法國、瑞士村、歐風小鎮屬園區或行銷詞；需搭配首爾、加平、南怡島、濟州等。</x:v>
      </x:c>
      <x:c r="F6" s="28" t="str">
        <x:v>命中首爾、釜山、濟州、景福宮、樂天世界、愛寶樂園時判韓國。</x:v>
      </x:c>
      <x:c r="G6" s="32" t="str">
        <x:v>High</x:v>
      </x:c>
      <x:c r="H6" s="32" t="str">
        <x:v>只出現小法國、瑞士村、韓劇場景，未出現韓國城市/景點。</x:v>
      </x:c>
      <x:c r="I6" s="32" t="str">
        <x:v>啟用</x:v>
      </x:c>
      <x:c r="J6" s="32" t="str">
        <x:v>2026-05-26</x:v>
      </x:c>
      <x:c r="K6" s="28" t="str"/>
      <x:c r="L6" s="32" t="n">
        <x:f>IF(TRIM(C6)="",0,LEN(C6)-LEN(SUBSTITUTE(C6,"、",""))+1)</x:f>
        <x:v>19</x:v>
      </x:c>
      <x:c r="M6" s="32" t="n">
        <x:f>IF(TRIM(D6)="",0,LEN(D6)-LEN(SUBSTITUTE(D6,"、",""))+1)</x:f>
        <x:v>5</x:v>
      </x:c>
    </x:row>
    <x:row r="7" ht="78" customHeight="1">
      <x:c r="A7" s="32" t="str">
        <x:v>越南</x:v>
      </x:c>
      <x:c r="B7" s="32" t="str">
        <x:v>東南亞</x:v>
      </x:c>
      <x:c r="C7" s="28" t="str">
        <x:v>越南、河內、胡志明市、峴港、下龍灣、陸龍灣、寧平、會安、順化、富國島、Grand World、VinWonders、Vinpearl、Vinpearl Safari、Charm of Venice、水舞秀、巴拿山、黃金橋、美溪沙灘、古芝地道、太陽世界</x:v>
      </x:c>
      <x:c r="D7" s="28" t="str">
        <x:v>越南威尼斯、威尼斯、貢多拉、法國村、歐風小鎮、馬爾地夫級</x:v>
      </x:c>
      <x:c r="E7" s="28" t="str">
        <x:v>Venice/威尼斯在越南富國島 Grand World 常作為行銷稱呼；不得單靠威尼斯判義大利。</x:v>
      </x:c>
      <x:c r="F7" s="28" t="str">
        <x:v>若同時出現富國島、Grand World、VinWonders、Vinpearl、Charm of Venice、水舞秀，優先判越南。</x:v>
      </x:c>
      <x:c r="G7" s="32" t="str">
        <x:v>High</x:v>
      </x:c>
      <x:c r="H7" s="32" t="str">
        <x:v>只出現威尼斯/貢多拉/法國村，未出現越南地名或品牌。</x:v>
      </x:c>
      <x:c r="I7" s="32" t="str">
        <x:v>啟用</x:v>
      </x:c>
      <x:c r="J7" s="32" t="str">
        <x:v>2026-05-26</x:v>
      </x:c>
      <x:c r="K7" s="28" t="str">
        <x:v>特別用來避免「越南威尼斯」被誤判義大利</x:v>
      </x:c>
      <x:c r="L7" s="32" t="n">
        <x:f>IF(TRIM(C7)="",0,LEN(C7)-LEN(SUBSTITUTE(C7,"、",""))+1)</x:f>
        <x:v>21</x:v>
      </x:c>
      <x:c r="M7" s="32" t="n">
        <x:f>IF(TRIM(D7)="",0,LEN(D7)-LEN(SUBSTITUTE(D7,"、",""))+1)</x:f>
        <x:v>6</x:v>
      </x:c>
    </x:row>
    <x:row r="8" ht="78" customHeight="1">
      <x:c r="A8" s="32" t="str">
        <x:v>泰國</x:v>
      </x:c>
      <x:c r="B8" s="32" t="str">
        <x:v>東南亞</x:v>
      </x:c>
      <x:c r="C8" s="28" t="str">
        <x:v>泰國、曼谷、芭達雅、清邁、清萊、普吉島、PP島、喀比、蘇美島、華欣、大皇宮、臥佛寺、鄭王廟、昭披耶河、丹嫩莎朵水上市場、安帕瓦、四方水上市場、雙龍寺</x:v>
      </x:c>
      <x:c r="D8" s="28" t="str">
        <x:v>東方威尼斯、水上市場、海島天堂、佛寺、夜市</x:v>
      </x:c>
      <x:c r="E8" s="28" t="str">
        <x:v>水上市場可能在多國，需搭配曼谷、丹嫩莎朵、安帕瓦、芭達雅等強信號。</x:v>
      </x:c>
      <x:c r="F8" s="28" t="str">
        <x:v>命中曼谷、大皇宮、鄭王廟、普吉島、PP島、清邁時判泰國。</x:v>
      </x:c>
      <x:c r="G8" s="32" t="str">
        <x:v>High</x:v>
      </x:c>
      <x:c r="H8" s="32" t="str">
        <x:v>只出現水上市場、佛寺、夜市、海島天堂等泛稱。</x:v>
      </x:c>
      <x:c r="I8" s="32" t="str">
        <x:v>啟用</x:v>
      </x:c>
      <x:c r="J8" s="32" t="str">
        <x:v>2026-05-26</x:v>
      </x:c>
      <x:c r="K8" s="28" t="str"/>
      <x:c r="L8" s="32" t="n">
        <x:f>IF(TRIM(C8)="",0,LEN(C8)-LEN(SUBSTITUTE(C8,"、",""))+1)</x:f>
        <x:v>18</x:v>
      </x:c>
      <x:c r="M8" s="32" t="n">
        <x:f>IF(TRIM(D8)="",0,LEN(D8)-LEN(SUBSTITUTE(D8,"、",""))+1)</x:f>
        <x:v>5</x:v>
      </x:c>
    </x:row>
    <x:row r="9" ht="78" customHeight="1">
      <x:c r="A9" s="32" t="str">
        <x:v>新加坡</x:v>
      </x:c>
      <x:c r="B9" s="32" t="str">
        <x:v>東南亞</x:v>
      </x:c>
      <x:c r="C9" s="28" t="str">
        <x:v>新加坡、魚尾獅、濱海灣金沙、Gardens by the Bay、濱海灣花園、Supertree、聖淘沙、USS、牛車水、小印度、克拉碼頭、樟宜機場</x:v>
      </x:c>
      <x:c r="D9" s="28" t="str">
        <x:v>環球影城、天空樹、小印度、金沙、花園城市</x:v>
      </x:c>
      <x:c r="E9" s="28" t="str">
        <x:v>環球影城需搭配 USS/聖淘沙；小印度不是印度，金沙也可能與澳門/拉斯維加斯混淆。</x:v>
      </x:c>
      <x:c r="F9" s="28" t="str">
        <x:v>命中魚尾獅、濱海灣金沙、聖淘沙、USS、樟宜機場時判新加坡。</x:v>
      </x:c>
      <x:c r="G9" s="32" t="str">
        <x:v>High</x:v>
      </x:c>
      <x:c r="H9" s="32" t="str">
        <x:v>只出現環球影城、小印度、金沙、花園城市。</x:v>
      </x:c>
      <x:c r="I9" s="32" t="str">
        <x:v>啟用</x:v>
      </x:c>
      <x:c r="J9" s="32" t="str">
        <x:v>2026-05-26</x:v>
      </x:c>
      <x:c r="K9" s="28" t="str"/>
      <x:c r="L9" s="32" t="n">
        <x:f>IF(TRIM(C9)="",0,LEN(C9)-LEN(SUBSTITUTE(C9,"、",""))+1)</x:f>
        <x:v>12</x:v>
      </x:c>
      <x:c r="M9" s="32" t="n">
        <x:f>IF(TRIM(D9)="",0,LEN(D9)-LEN(SUBSTITUTE(D9,"、",""))+1)</x:f>
        <x:v>5</x:v>
      </x:c>
    </x:row>
    <x:row r="10" ht="78" customHeight="1">
      <x:c r="A10" s="32" t="str">
        <x:v>馬來西亞</x:v>
      </x:c>
      <x:c r="B10" s="32" t="str">
        <x:v>東南亞</x:v>
      </x:c>
      <x:c r="C10" s="28" t="str">
        <x:v>馬來西亞、吉隆坡、雙子星塔、黑風洞、馬六甲、檳城、喬治市、蘭卡威、雲頂高原、沙巴、亞庇、神山、仙本那</x:v>
      </x:c>
      <x:c r="D10" s="28" t="str">
        <x:v>小印度、英倫風、南洋古城、玻璃海、海上屋</x:v>
      </x:c>
      <x:c r="E10" s="28" t="str">
        <x:v>玻璃海/海上屋可能誤判馬爾地夫；需搭配沙巴、仙本那、亞庇。</x:v>
      </x:c>
      <x:c r="F10" s="28" t="str">
        <x:v>命中雙子星塔、吉隆坡、沙巴、仙本那、雲頂高原時判馬來西亞。</x:v>
      </x:c>
      <x:c r="G10" s="32" t="str">
        <x:v>High</x:v>
      </x:c>
      <x:c r="H10" s="32" t="str">
        <x:v>只出現南洋、玻璃海、海上屋，未出現馬來西亞地名。</x:v>
      </x:c>
      <x:c r="I10" s="32" t="str">
        <x:v>啟用</x:v>
      </x:c>
      <x:c r="J10" s="32" t="str">
        <x:v>2026-05-26</x:v>
      </x:c>
      <x:c r="K10" s="28" t="str"/>
      <x:c r="L10" s="32" t="n">
        <x:f>IF(TRIM(C10)="",0,LEN(C10)-LEN(SUBSTITUTE(C10,"、",""))+1)</x:f>
        <x:v>13</x:v>
      </x:c>
      <x:c r="M10" s="32" t="n">
        <x:f>IF(TRIM(D10)="",0,LEN(D10)-LEN(SUBSTITUTE(D10,"、",""))+1)</x:f>
        <x:v>5</x:v>
      </x:c>
    </x:row>
    <x:row r="11" ht="78" customHeight="1">
      <x:c r="A11" s="32" t="str">
        <x:v>印尼</x:v>
      </x:c>
      <x:c r="B11" s="32" t="str">
        <x:v>東南亞</x:v>
      </x:c>
      <x:c r="C11" s="28" t="str">
        <x:v>印尼、峇里島、巴里島、烏布、海神廟、情人崖、金巴蘭、努沙杜瓦、藍夢島、婆羅浮屠、日惹、雅加達、科莫多、天空之門</x:v>
      </x:c>
      <x:c r="D11" s="28" t="str">
        <x:v>海島天堂、馬爾地夫級、天空之門、情人崖、藍色海岸</x:v>
      </x:c>
      <x:c r="E11" s="28" t="str">
        <x:v>情人崖/天空之門可能是行銷或多地同名；需搭配峇里島、烏布、Uluwatu 等。</x:v>
      </x:c>
      <x:c r="F11" s="28" t="str">
        <x:v>命中峇里島、烏布、海神廟、婆羅浮屠、科莫多時判印尼。</x:v>
      </x:c>
      <x:c r="G11" s="32" t="str">
        <x:v>High</x:v>
      </x:c>
      <x:c r="H11" s="32" t="str">
        <x:v>只出現海島天堂、馬爾地夫級、情人崖，未出現印尼地名。</x:v>
      </x:c>
      <x:c r="I11" s="32" t="str">
        <x:v>啟用</x:v>
      </x:c>
      <x:c r="J11" s="32" t="str">
        <x:v>2026-05-26</x:v>
      </x:c>
      <x:c r="K11" s="28" t="str"/>
      <x:c r="L11" s="32" t="n">
        <x:f>IF(TRIM(C11)="",0,LEN(C11)-LEN(SUBSTITUTE(C11,"、",""))+1)</x:f>
        <x:v>14</x:v>
      </x:c>
      <x:c r="M11" s="32" t="n">
        <x:f>IF(TRIM(D11)="",0,LEN(D11)-LEN(SUBSTITUTE(D11,"、",""))+1)</x:f>
        <x:v>5</x:v>
      </x:c>
    </x:row>
    <x:row r="12" ht="78" customHeight="1">
      <x:c r="A12" s="32" t="str">
        <x:v>菲律賓</x:v>
      </x:c>
      <x:c r="B12" s="32" t="str">
        <x:v>東南亞</x:v>
      </x:c>
      <x:c r="C12" s="28" t="str">
        <x:v>菲律賓、宿霧、薄荷島、巧克力山、眼鏡猴、長灘島、巴拉望、愛妮島、科隆島、馬尼拉</x:v>
      </x:c>
      <x:c r="D12" s="28" t="str">
        <x:v>馬爾地夫級海景、玻璃海、科隆、白沙灘、果凍海</x:v>
      </x:c>
      <x:c r="E12" s="28" t="str">
        <x:v>科隆可能與德國城市科隆混淆；玻璃海/白沙灘不可直接判菲律賓。</x:v>
      </x:c>
      <x:c r="F12" s="28" t="str">
        <x:v>命中宿霧、薄荷島、巧克力山、長灘島、巴拉望、愛妮島時判菲律賓。</x:v>
      </x:c>
      <x:c r="G12" s="32" t="str">
        <x:v>High</x:v>
      </x:c>
      <x:c r="H12" s="32" t="str">
        <x:v>只出現玻璃海、白沙灘、科隆，缺少巴拉望/Coron 等上下文。</x:v>
      </x:c>
      <x:c r="I12" s="32" t="str">
        <x:v>啟用</x:v>
      </x:c>
      <x:c r="J12" s="32" t="str">
        <x:v>2026-05-26</x:v>
      </x:c>
      <x:c r="K12" s="28" t="str"/>
      <x:c r="L12" s="32" t="n">
        <x:f>IF(TRIM(C12)="",0,LEN(C12)-LEN(SUBSTITUTE(C12,"、",""))+1)</x:f>
        <x:v>10</x:v>
      </x:c>
      <x:c r="M12" s="32" t="n">
        <x:f>IF(TRIM(D12)="",0,LEN(D12)-LEN(SUBSTITUTE(D12,"、",""))+1)</x:f>
        <x:v>5</x:v>
      </x:c>
    </x:row>
    <x:row r="13" ht="78" customHeight="1">
      <x:c r="A13" s="32" t="str">
        <x:v>台灣</x:v>
      </x:c>
      <x:c r="B13" s="32" t="str">
        <x:v>東亞</x:v>
      </x:c>
      <x:c r="C13" s="28" t="str">
        <x:v>台灣、台北、台中、高雄、台南、花蓮、日月潭、阿里山、九份、十分、野柳、太魯閣、墾丁、澎湖、綠島、蘭嶼、台北101</x:v>
      </x:c>
      <x:c r="D13" s="28" t="str">
        <x:v>小瑞士、天空之城、小希臘、藍白小鎮、合掌村、老街</x:v>
      </x:c>
      <x:c r="E13" s="28" t="str">
        <x:v>小瑞士、小希臘等可能是台灣景點行銷詞，也可能是其他國家；需搭配台灣地名。</x:v>
      </x:c>
      <x:c r="F13" s="28" t="str">
        <x:v>命中台北101、日月潭、阿里山、九份、太魯閣、墾丁、澎湖時判台灣。</x:v>
      </x:c>
      <x:c r="G13" s="32" t="str">
        <x:v>High</x:v>
      </x:c>
      <x:c r="H13" s="32" t="str">
        <x:v>只出現老街、小瑞士、天空之城等泛稱。</x:v>
      </x:c>
      <x:c r="I13" s="32" t="str">
        <x:v>啟用</x:v>
      </x:c>
      <x:c r="J13" s="32" t="str">
        <x:v>2026-05-26</x:v>
      </x:c>
      <x:c r="K13" s="28" t="str"/>
      <x:c r="L13" s="32" t="n">
        <x:f>IF(TRIM(C13)="",0,LEN(C13)-LEN(SUBSTITUTE(C13,"、",""))+1)</x:f>
        <x:v>17</x:v>
      </x:c>
      <x:c r="M13" s="32" t="n">
        <x:f>IF(TRIM(D13)="",0,LEN(D13)-LEN(SUBSTITUTE(D13,"、",""))+1)</x:f>
        <x:v>6</x:v>
      </x:c>
    </x:row>
    <x:row r="14" ht="78" customHeight="1">
      <x:c r="A14" s="32" t="str">
        <x:v>中國</x:v>
      </x:c>
      <x:c r="B14" s="32" t="str">
        <x:v>東亞</x:v>
      </x:c>
      <x:c r="C14" s="28" t="str">
        <x:v>中國、北京、上海、西安、成都、重慶、桂林、張家界、九寨溝、黃山、麗江、香格里拉、故宮、長城、頤和園、外灘、兵馬俑、樂山大佛、峨眉山</x:v>
      </x:c>
      <x:c r="D14" s="28" t="str">
        <x:v>東方瑞士、小歐洲、天空之城、歐洲九寨溝、古城</x:v>
      </x:c>
      <x:c r="E14" s="28" t="str">
        <x:v>天空之城、小歐洲、東方瑞士都可能是行銷詞；需看張家界、九寨溝、麗江等實際地名。</x:v>
      </x:c>
      <x:c r="F14" s="28" t="str">
        <x:v>命中長城、故宮、兵馬俑、外灘、張家界、九寨溝時判中國。</x:v>
      </x:c>
      <x:c r="G14" s="32" t="str">
        <x:v>High</x:v>
      </x:c>
      <x:c r="H14" s="32" t="str">
        <x:v>只出現天空之城、古城、小歐洲等弱信號。</x:v>
      </x:c>
      <x:c r="I14" s="32" t="str">
        <x:v>啟用</x:v>
      </x:c>
      <x:c r="J14" s="32" t="str">
        <x:v>2026-05-26</x:v>
      </x:c>
      <x:c r="K14" s="28" t="str"/>
      <x:c r="L14" s="32" t="n">
        <x:f>IF(TRIM(C14)="",0,LEN(C14)-LEN(SUBSTITUTE(C14,"、",""))+1)</x:f>
        <x:v>19</x:v>
      </x:c>
      <x:c r="M14" s="32" t="n">
        <x:f>IF(TRIM(D14)="",0,LEN(D14)-LEN(SUBSTITUTE(D14,"、",""))+1)</x:f>
        <x:v>5</x:v>
      </x:c>
    </x:row>
    <x:row r="15" ht="78" customHeight="1">
      <x:c r="A15" s="32" t="str">
        <x:v>香港</x:v>
      </x:c>
      <x:c r="B15" s="32" t="str">
        <x:v>港澳</x:v>
      </x:c>
      <x:c r="C15" s="28" t="str">
        <x:v>香港、維多利亞港、太平山、星光大道、尖沙咀、中環、銅鑼灣、香港迪士尼、海洋公園、大嶼山、昂坪360、天壇大佛</x:v>
      </x:c>
      <x:c r="D15" s="28" t="str">
        <x:v>東方之珠、夜景、迪士尼、摩天輪、港式</x:v>
      </x:c>
      <x:c r="E15" s="28" t="str">
        <x:v>迪士尼需搭配香港/大嶼山；夜景、東方之珠為弱信號。</x:v>
      </x:c>
      <x:c r="F15" s="28" t="str">
        <x:v>命中維多利亞港、太平山、香港迪士尼、海洋公園、昂坪360 時判香港。</x:v>
      </x:c>
      <x:c r="G15" s="32" t="str">
        <x:v>High</x:v>
      </x:c>
      <x:c r="H15" s="32" t="str">
        <x:v>只出現迪士尼、夜景、港式等泛稱。</x:v>
      </x:c>
      <x:c r="I15" s="32" t="str">
        <x:v>啟用</x:v>
      </x:c>
      <x:c r="J15" s="32" t="str">
        <x:v>2026-05-26</x:v>
      </x:c>
      <x:c r="K15" s="28" t="str"/>
      <x:c r="L15" s="32" t="n">
        <x:f>IF(TRIM(C15)="",0,LEN(C15)-LEN(SUBSTITUTE(C15,"、",""))+1)</x:f>
        <x:v>12</x:v>
      </x:c>
      <x:c r="M15" s="32" t="n">
        <x:f>IF(TRIM(D15)="",0,LEN(D15)-LEN(SUBSTITUTE(D15,"、",""))+1)</x:f>
        <x:v>5</x:v>
      </x:c>
    </x:row>
    <x:row r="16" ht="78" customHeight="1">
      <x:c r="A16" s="32" t="str">
        <x:v>澳門</x:v>
      </x:c>
      <x:c r="B16" s="32" t="str">
        <x:v>港澳</x:v>
      </x:c>
      <x:c r="C16" s="28" t="str">
        <x:v>澳門、大三巴、議事亭前地、媽閣廟、官也街、路氹、威尼斯人、澳門威尼斯人、巴黎人、澳門巴黎人、倫敦人、永利皇宮、金沙城</x:v>
      </x:c>
      <x:c r="D16" s="28" t="str">
        <x:v>威尼斯、巴黎、倫敦、艾菲爾鐵塔、貢多拉、葡式建築</x:v>
      </x:c>
      <x:c r="E16" s="28" t="str">
        <x:v>威尼斯人/巴黎人/倫敦人為澳門飯店或園區名時，不可判義大利/法國/英國。</x:v>
      </x:c>
      <x:c r="F16" s="28" t="str">
        <x:v>命中澳門、大三巴、路氹、威尼斯人、巴黎人、倫敦人、永利皇宮時判澳門。</x:v>
      </x:c>
      <x:c r="G16" s="32" t="str">
        <x:v>High</x:v>
      </x:c>
      <x:c r="H16" s="32" t="str">
        <x:v>只出現威尼斯、巴黎、倫敦或葡式建築，未出現澳門強信號。</x:v>
      </x:c>
      <x:c r="I16" s="32" t="str">
        <x:v>啟用</x:v>
      </x:c>
      <x:c r="J16" s="32" t="str">
        <x:v>2026-05-26</x:v>
      </x:c>
      <x:c r="K16" s="28" t="str"/>
      <x:c r="L16" s="32" t="n">
        <x:f>IF(TRIM(C16)="",0,LEN(C16)-LEN(SUBSTITUTE(C16,"、",""))+1)</x:f>
        <x:v>13</x:v>
      </x:c>
      <x:c r="M16" s="32" t="n">
        <x:f>IF(TRIM(D16)="",0,LEN(D16)-LEN(SUBSTITUTE(D16,"、",""))+1)</x:f>
        <x:v>6</x:v>
      </x:c>
    </x:row>
    <x:row r="17" ht="78" customHeight="1">
      <x:c r="A17" s="32" t="str">
        <x:v>柬埔寨</x:v>
      </x:c>
      <x:c r="B17" s="32" t="str">
        <x:v>東南亞</x:v>
      </x:c>
      <x:c r="C17" s="28" t="str">
        <x:v>柬埔寨、暹粒、吳哥窟、巴戎寺、塔普倫寺、女王宮、洞里薩湖、金邊</x:v>
      </x:c>
      <x:c r="D17" s="28" t="str">
        <x:v>古文明、寺廟王國、東南亞古城、微笑高棉</x:v>
      </x:c>
      <x:c r="E17" s="28" t="str">
        <x:v>古文明/寺廟屬泛稱；需搭配吳哥窟、暹粒、巴戎寺。</x:v>
      </x:c>
      <x:c r="F17" s="28" t="str">
        <x:v>命中吳哥窟、暹粒、巴戎寺、塔普倫寺時判柬埔寨。</x:v>
      </x:c>
      <x:c r="G17" s="32" t="str">
        <x:v>High</x:v>
      </x:c>
      <x:c r="H17" s="32" t="str">
        <x:v>只出現古文明、寺廟王國等泛稱。</x:v>
      </x:c>
      <x:c r="I17" s="32" t="str">
        <x:v>啟用</x:v>
      </x:c>
      <x:c r="J17" s="32" t="str">
        <x:v>2026-05-26</x:v>
      </x:c>
      <x:c r="K17" s="28" t="str"/>
      <x:c r="L17" s="32" t="n">
        <x:f>IF(TRIM(C17)="",0,LEN(C17)-LEN(SUBSTITUTE(C17,"、",""))+1)</x:f>
        <x:v>8</x:v>
      </x:c>
      <x:c r="M17" s="32" t="n">
        <x:f>IF(TRIM(D17)="",0,LEN(D17)-LEN(SUBSTITUTE(D17,"、",""))+1)</x:f>
        <x:v>4</x:v>
      </x:c>
    </x:row>
    <x:row r="18" ht="78" customHeight="1">
      <x:c r="A18" s="32" t="str">
        <x:v>土耳其</x:v>
      </x:c>
      <x:c r="B18" s="32" t="str">
        <x:v>中東/歐亞</x:v>
      </x:c>
      <x:c r="C18" s="28" t="str">
        <x:v>土耳其、伊斯坦堡、藍色清真寺、聖索菲亞、托普卡匹皇宮、博斯普魯斯、卡帕多奇亞、棉堡、以弗所、安塔利亞、熱氣球</x:v>
      </x:c>
      <x:c r="D18" s="28" t="str">
        <x:v>熱氣球、藍色清真寺、清真寺、沙漠、歐亞交界</x:v>
      </x:c>
      <x:c r="E18" s="28" t="str">
        <x:v>熱氣球不可單獨判土耳其；需搭配卡帕多奇亞。清真寺也不具唯一性。</x:v>
      </x:c>
      <x:c r="F18" s="28" t="str">
        <x:v>命中卡帕多奇亞、伊斯坦堡、聖索菲亞、棉堡時判土耳其。</x:v>
      </x:c>
      <x:c r="G18" s="32" t="str">
        <x:v>High</x:v>
      </x:c>
      <x:c r="H18" s="32" t="str">
        <x:v>只出現熱氣球、清真寺、歐亞交界，缺少土耳其地名。</x:v>
      </x:c>
      <x:c r="I18" s="32" t="str">
        <x:v>啟用</x:v>
      </x:c>
      <x:c r="J18" s="32" t="str">
        <x:v>2026-05-26</x:v>
      </x:c>
      <x:c r="K18" s="28" t="str"/>
      <x:c r="L18" s="32" t="n">
        <x:f>IF(TRIM(C18)="",0,LEN(C18)-LEN(SUBSTITUTE(C18,"、",""))+1)</x:f>
        <x:v>11</x:v>
      </x:c>
      <x:c r="M18" s="32" t="n">
        <x:f>IF(TRIM(D18)="",0,LEN(D18)-LEN(SUBSTITUTE(D18,"、",""))+1)</x:f>
        <x:v>5</x:v>
      </x:c>
    </x:row>
    <x:row r="19" ht="78" customHeight="1">
      <x:c r="A19" s="32" t="str">
        <x:v>阿聯酋/杜拜</x:v>
      </x:c>
      <x:c r="B19" s="32" t="str">
        <x:v>中東</x:v>
      </x:c>
      <x:c r="C19" s="28" t="str">
        <x:v>阿聯酋、杜拜、阿布達比、哈里發塔、帆船飯店、棕櫚島、Dubai Mall、沙漠衝沙、謝赫扎耶德大清真寺、羅浮宮阿布達比</x:v>
      </x:c>
      <x:c r="D19" s="28" t="str">
        <x:v>沙漠、黃金城市、羅浮宮、清真寺、棕櫚、衝沙</x:v>
      </x:c>
      <x:c r="E19" s="28" t="str">
        <x:v>羅浮宮可能指法國；沙漠/衝沙也可能是埃及、摩洛哥等。需搭配杜拜/阿布達比。</x:v>
      </x:c>
      <x:c r="F19" s="28" t="str">
        <x:v>命中哈里發塔、帆船飯店、棕櫚島、阿布達比大清真寺時判阿聯酋。</x:v>
      </x:c>
      <x:c r="G19" s="32" t="str">
        <x:v>High</x:v>
      </x:c>
      <x:c r="H19" s="32" t="str">
        <x:v>只出現沙漠、衝沙、羅浮宮、清真寺。</x:v>
      </x:c>
      <x:c r="I19" s="32" t="str">
        <x:v>啟用</x:v>
      </x:c>
      <x:c r="J19" s="32" t="str">
        <x:v>2026-05-26</x:v>
      </x:c>
      <x:c r="K19" s="28" t="str"/>
      <x:c r="L19" s="32" t="n">
        <x:f>IF(TRIM(C19)="",0,LEN(C19)-LEN(SUBSTITUTE(C19,"、",""))+1)</x:f>
        <x:v>10</x:v>
      </x:c>
      <x:c r="M19" s="32" t="n">
        <x:f>IF(TRIM(D19)="",0,LEN(D19)-LEN(SUBSTITUTE(D19,"、",""))+1)</x:f>
        <x:v>6</x:v>
      </x:c>
    </x:row>
    <x:row r="20" ht="78" customHeight="1">
      <x:c r="A20" s="32" t="str">
        <x:v>義大利</x:v>
      </x:c>
      <x:c r="B20" s="32" t="str">
        <x:v>歐洲</x:v>
      </x:c>
      <x:c r="C20" s="28" t="str">
        <x:v>義大利、羅馬、競技場、梵蒂岡、聖彼得大教堂、佛羅倫斯、聖母百花大教堂、比薩斜塔、威尼斯、聖馬可廣場、嘆息橋、貢多拉、米蘭、五漁村、阿瑪菲、龐貝</x:v>
      </x:c>
      <x:c r="D20" s="28" t="str">
        <x:v>威尼斯、小威尼斯、越南威尼斯、威尼斯人、貢多拉、水都、歐風水城</x:v>
      </x:c>
      <x:c r="E20" s="28" t="str">
        <x:v>威尼斯/貢多拉可能是澳門、越南或仿景；需搭配聖馬可廣場、嘆息橋或義大利城市。</x:v>
      </x:c>
      <x:c r="F20" s="28" t="str">
        <x:v>命中羅馬、佛羅倫斯、比薩斜塔、聖馬可廣場、五漁村時判義大利。</x:v>
      </x:c>
      <x:c r="G20" s="32" t="str">
        <x:v>High</x:v>
      </x:c>
      <x:c r="H20" s="32" t="str">
        <x:v>只出現威尼斯、貢多拉、水都，沒有義大利其他強信號。</x:v>
      </x:c>
      <x:c r="I20" s="32" t="str">
        <x:v>啟用</x:v>
      </x:c>
      <x:c r="J20" s="32" t="str">
        <x:v>2026-05-26</x:v>
      </x:c>
      <x:c r="K20" s="28" t="str">
        <x:v>重點排除「越南威尼斯」「澳門威尼斯人」</x:v>
      </x:c>
      <x:c r="L20" s="32" t="n">
        <x:f>IF(TRIM(C20)="",0,LEN(C20)-LEN(SUBSTITUTE(C20,"、",""))+1)</x:f>
        <x:v>16</x:v>
      </x:c>
      <x:c r="M20" s="32" t="n">
        <x:f>IF(TRIM(D20)="",0,LEN(D20)-LEN(SUBSTITUTE(D20,"、",""))+1)</x:f>
        <x:v>7</x:v>
      </x:c>
    </x:row>
    <x:row r="21" ht="78" customHeight="1">
      <x:c r="A21" s="32" t="str">
        <x:v>法國</x:v>
      </x:c>
      <x:c r="B21" s="32" t="str">
        <x:v>歐洲</x:v>
      </x:c>
      <x:c r="C21" s="28" t="str">
        <x:v>法國、巴黎、艾菲爾鐵塔、羅浮宮、凡爾賽宮、凱旋門、香榭麗舍、塞納河、聖米歇爾山、普羅旺斯、尼斯、蔚藍海岸、亞維農</x:v>
      </x:c>
      <x:c r="D21" s="28" t="str">
        <x:v>東方巴黎、小巴黎、法式、巴黎人、普羅旺斯風、艾菲爾鐵塔仿景</x:v>
      </x:c>
      <x:c r="E21" s="28" t="str">
        <x:v>巴黎/艾菲爾可能是澳門或仿景；需搭配巴黎市區景點或法國城市。</x:v>
      </x:c>
      <x:c r="F21" s="28" t="str">
        <x:v>命中巴黎、羅浮宮、凡爾賽宮、香榭麗舍、聖米歇爾山時判法國。</x:v>
      </x:c>
      <x:c r="G21" s="32" t="str">
        <x:v>High</x:v>
      </x:c>
      <x:c r="H21" s="32" t="str">
        <x:v>只出現巴黎人、法式小鎮、東方巴黎、艾菲爾仿景。</x:v>
      </x:c>
      <x:c r="I21" s="32" t="str">
        <x:v>啟用</x:v>
      </x:c>
      <x:c r="J21" s="32" t="str">
        <x:v>2026-05-26</x:v>
      </x:c>
      <x:c r="K21" s="28" t="str"/>
      <x:c r="L21" s="32" t="n">
        <x:f>IF(TRIM(C21)="",0,LEN(C21)-LEN(SUBSTITUTE(C21,"、",""))+1)</x:f>
        <x:v>13</x:v>
      </x:c>
      <x:c r="M21" s="32" t="n">
        <x:f>IF(TRIM(D21)="",0,LEN(D21)-LEN(SUBSTITUTE(D21,"、",""))+1)</x:f>
        <x:v>6</x:v>
      </x:c>
    </x:row>
    <x:row r="22" ht="78" customHeight="1">
      <x:c r="A22" s="32" t="str">
        <x:v>瑞士</x:v>
      </x:c>
      <x:c r="B22" s="32" t="str">
        <x:v>歐洲</x:v>
      </x:c>
      <x:c r="C22" s="28" t="str">
        <x:v>瑞士、蘇黎世、琉森、少女峰、馬特洪峰、策馬特、因特拉肯、伯恩、卡貝爾橋、黃金列車、冰河列車、萊茵瀑布</x:v>
      </x:c>
      <x:c r="D22" s="28" t="str">
        <x:v>小瑞士、瑞士村、阿爾卑斯風、雪山小鎮、歐洲山城</x:v>
      </x:c>
      <x:c r="E22" s="28" t="str">
        <x:v>小瑞士、瑞士村常為其他國家景點行銷詞；需搭配少女峰、策馬特、琉森等。</x:v>
      </x:c>
      <x:c r="F22" s="28" t="str">
        <x:v>命中少女峰、馬特洪峰、策馬特、琉森、冰河列車時判瑞士。</x:v>
      </x:c>
      <x:c r="G22" s="32" t="str">
        <x:v>High</x:v>
      </x:c>
      <x:c r="H22" s="32" t="str">
        <x:v>只出現小瑞士、瑞士村、阿爾卑斯風。</x:v>
      </x:c>
      <x:c r="I22" s="32" t="str">
        <x:v>啟用</x:v>
      </x:c>
      <x:c r="J22" s="32" t="str">
        <x:v>2026-05-26</x:v>
      </x:c>
      <x:c r="K22" s="28" t="str"/>
      <x:c r="L22" s="32" t="n">
        <x:f>IF(TRIM(C22)="",0,LEN(C22)-LEN(SUBSTITUTE(C22,"、",""))+1)</x:f>
        <x:v>12</x:v>
      </x:c>
      <x:c r="M22" s="32" t="n">
        <x:f>IF(TRIM(D22)="",0,LEN(D22)-LEN(SUBSTITUTE(D22,"、",""))+1)</x:f>
        <x:v>5</x:v>
      </x:c>
    </x:row>
    <x:row r="23" ht="78" customHeight="1">
      <x:c r="A23" s="32" t="str">
        <x:v>奧地利</x:v>
      </x:c>
      <x:c r="B23" s="32" t="str">
        <x:v>歐洲</x:v>
      </x:c>
      <x:c r="C23" s="28" t="str">
        <x:v>奧地利、維也納、美泉宮、霍夫堡、薩爾斯堡、哈修塔特、莫札特、金色大廳、多瑙河</x:v>
      </x:c>
      <x:c r="D23" s="28" t="str">
        <x:v>音樂之都、童話小鎮、多瑙河、湖區小鎮</x:v>
      </x:c>
      <x:c r="E23" s="28" t="str">
        <x:v>音樂之都、多瑙河、童話小鎮都不具唯一性；需搭配維也納、哈修塔特等。</x:v>
      </x:c>
      <x:c r="F23" s="28" t="str">
        <x:v>命中維也納、美泉宮、薩爾斯堡、哈修塔特時判奧地利。</x:v>
      </x:c>
      <x:c r="G23" s="32" t="str">
        <x:v>High</x:v>
      </x:c>
      <x:c r="H23" s="32" t="str">
        <x:v>只出現音樂之都、童話小鎮、多瑙河。</x:v>
      </x:c>
      <x:c r="I23" s="32" t="str">
        <x:v>啟用</x:v>
      </x:c>
      <x:c r="J23" s="32" t="str">
        <x:v>2026-05-26</x:v>
      </x:c>
      <x:c r="K23" s="28" t="str"/>
      <x:c r="L23" s="32" t="n">
        <x:f>IF(TRIM(C23)="",0,LEN(C23)-LEN(SUBSTITUTE(C23,"、",""))+1)</x:f>
        <x:v>9</x:v>
      </x:c>
      <x:c r="M23" s="32" t="n">
        <x:f>IF(TRIM(D23)="",0,LEN(D23)-LEN(SUBSTITUTE(D23,"、",""))+1)</x:f>
        <x:v>4</x:v>
      </x:c>
    </x:row>
    <x:row r="24" ht="78" customHeight="1">
      <x:c r="A24" s="32" t="str">
        <x:v>德國</x:v>
      </x:c>
      <x:c r="B24" s="32" t="str">
        <x:v>歐洲</x:v>
      </x:c>
      <x:c r="C24" s="28" t="str">
        <x:v>德國、柏林、慕尼黑、法蘭克福、新天鵝堡、布蘭登堡門、羅曼蒂克大道、海德堡、科隆大教堂、黑森林、啤酒節</x:v>
      </x:c>
      <x:c r="D24" s="28" t="str">
        <x:v>童話城堡、啤酒節、科隆、黑森林蛋糕、歐洲古堡</x:v>
      </x:c>
      <x:c r="E24" s="28" t="str">
        <x:v>童話城堡/啤酒節不具唯一性；科隆可能是菲律賓 Coron 中文音譯混淆。</x:v>
      </x:c>
      <x:c r="F24" s="28" t="str">
        <x:v>命中新天鵝堡、慕尼黑、柏林、羅曼蒂克大道、科隆大教堂時判德國。</x:v>
      </x:c>
      <x:c r="G24" s="32" t="str">
        <x:v>High</x:v>
      </x:c>
      <x:c r="H24" s="32" t="str">
        <x:v>只出現城堡、啤酒節、科隆等模糊詞。</x:v>
      </x:c>
      <x:c r="I24" s="32" t="str">
        <x:v>啟用</x:v>
      </x:c>
      <x:c r="J24" s="32" t="str">
        <x:v>2026-05-26</x:v>
      </x:c>
      <x:c r="K24" s="28" t="str"/>
      <x:c r="L24" s="32" t="n">
        <x:f>IF(TRIM(C24)="",0,LEN(C24)-LEN(SUBSTITUTE(C24,"、",""))+1)</x:f>
        <x:v>11</x:v>
      </x:c>
      <x:c r="M24" s="32" t="n">
        <x:f>IF(TRIM(D24)="",0,LEN(D24)-LEN(SUBSTITUTE(D24,"、",""))+1)</x:f>
        <x:v>5</x:v>
      </x:c>
    </x:row>
    <x:row r="25" ht="78" customHeight="1">
      <x:c r="A25" s="32" t="str">
        <x:v>英國</x:v>
      </x:c>
      <x:c r="B25" s="32" t="str">
        <x:v>歐洲</x:v>
      </x:c>
      <x:c r="C25" s="28" t="str">
        <x:v>英國、倫敦、大笨鐘、倫敦塔橋、白金漢宮、大英博物館、溫莎城堡、牛津、劍橋、愛丁堡、巨石陣</x:v>
      </x:c>
      <x:c r="D25" s="28" t="str">
        <x:v>英倫風、倫敦人、大笨鐘仿景、塔橋仿景、皇家風</x:v>
      </x:c>
      <x:c r="E25" s="28" t="str">
        <x:v>倫敦人可能是澳門；英倫風/皇家風不等於英國。</x:v>
      </x:c>
      <x:c r="F25" s="28" t="str">
        <x:v>命中倫敦、大笨鐘、白金漢宮、大英博物館、愛丁堡時判英國。</x:v>
      </x:c>
      <x:c r="G25" s="32" t="str">
        <x:v>High</x:v>
      </x:c>
      <x:c r="H25" s="32" t="str">
        <x:v>只出現英倫風、倫敦人、皇家風。</x:v>
      </x:c>
      <x:c r="I25" s="32" t="str">
        <x:v>啟用</x:v>
      </x:c>
      <x:c r="J25" s="32" t="str">
        <x:v>2026-05-26</x:v>
      </x:c>
      <x:c r="K25" s="28" t="str"/>
      <x:c r="L25" s="32" t="n">
        <x:f>IF(TRIM(C25)="",0,LEN(C25)-LEN(SUBSTITUTE(C25,"、",""))+1)</x:f>
        <x:v>11</x:v>
      </x:c>
      <x:c r="M25" s="32" t="n">
        <x:f>IF(TRIM(D25)="",0,LEN(D25)-LEN(SUBSTITUTE(D25,"、",""))+1)</x:f>
        <x:v>5</x:v>
      </x:c>
    </x:row>
    <x:row r="26" ht="78" customHeight="1">
      <x:c r="A26" s="32" t="str">
        <x:v>荷蘭</x:v>
      </x:c>
      <x:c r="B26" s="32" t="str">
        <x:v>歐洲</x:v>
      </x:c>
      <x:c r="C26" s="28" t="str">
        <x:v>荷蘭、阿姆斯特丹、風車村、贊瑟斯漢斯、庫肯霍夫、羊角村、梵谷博物館、運河、鬱金香</x:v>
      </x:c>
      <x:c r="D26" s="28" t="str">
        <x:v>小荷蘭、風車、運河、花海、鬱金香季</x:v>
      </x:c>
      <x:c r="E26" s="28" t="str">
        <x:v>風車、運河、花海不是荷蘭唯一；需搭配阿姆斯特丹、庫肯霍夫、羊角村。</x:v>
      </x:c>
      <x:c r="F26" s="28" t="str">
        <x:v>命中阿姆斯特丹、庫肯霍夫、羊角村、贊瑟斯漢斯時判荷蘭。</x:v>
      </x:c>
      <x:c r="G26" s="32" t="str">
        <x:v>High</x:v>
      </x:c>
      <x:c r="H26" s="32" t="str">
        <x:v>只出現風車、運河、花海、小荷蘭。</x:v>
      </x:c>
      <x:c r="I26" s="32" t="str">
        <x:v>啟用</x:v>
      </x:c>
      <x:c r="J26" s="32" t="str">
        <x:v>2026-05-26</x:v>
      </x:c>
      <x:c r="K26" s="28" t="str"/>
      <x:c r="L26" s="32" t="n">
        <x:f>IF(TRIM(C26)="",0,LEN(C26)-LEN(SUBSTITUTE(C26,"、",""))+1)</x:f>
        <x:v>9</x:v>
      </x:c>
      <x:c r="M26" s="32" t="n">
        <x:f>IF(TRIM(D26)="",0,LEN(D26)-LEN(SUBSTITUTE(D26,"、",""))+1)</x:f>
        <x:v>5</x:v>
      </x:c>
    </x:row>
    <x:row r="27" ht="78" customHeight="1">
      <x:c r="A27" s="32" t="str">
        <x:v>西班牙</x:v>
      </x:c>
      <x:c r="B27" s="32" t="str">
        <x:v>歐洲</x:v>
      </x:c>
      <x:c r="C27" s="28" t="str">
        <x:v>西班牙、巴塞隆納、聖家堂、高第、奎爾公園、馬德里、普拉多美術館、塞維亞、阿爾罕布拉宮、格拉納達、佛朗明哥</x:v>
      </x:c>
      <x:c r="D27" s="28" t="str">
        <x:v>熱情南歐、佛朗明哥風、高第風、摩爾風、陽光海岸</x:v>
      </x:c>
      <x:c r="E27" s="28" t="str">
        <x:v>佛朗明哥風/南歐風是弱信號；需搭配巴塞隆納、聖家堂、格拉納達等。</x:v>
      </x:c>
      <x:c r="F27" s="28" t="str">
        <x:v>命中聖家堂、高第、巴塞隆納、阿爾罕布拉宮時判西班牙。</x:v>
      </x:c>
      <x:c r="G27" s="32" t="str">
        <x:v>High</x:v>
      </x:c>
      <x:c r="H27" s="32" t="str">
        <x:v>只出現南歐風、佛朗明哥風、摩爾風。</x:v>
      </x:c>
      <x:c r="I27" s="32" t="str">
        <x:v>啟用</x:v>
      </x:c>
      <x:c r="J27" s="32" t="str">
        <x:v>2026-05-26</x:v>
      </x:c>
      <x:c r="K27" s="28" t="str"/>
      <x:c r="L27" s="32" t="n">
        <x:f>IF(TRIM(C27)="",0,LEN(C27)-LEN(SUBSTITUTE(C27,"、",""))+1)</x:f>
        <x:v>11</x:v>
      </x:c>
      <x:c r="M27" s="32" t="n">
        <x:f>IF(TRIM(D27)="",0,LEN(D27)-LEN(SUBSTITUTE(D27,"、",""))+1)</x:f>
        <x:v>5</x:v>
      </x:c>
    </x:row>
    <x:row r="28" ht="78" customHeight="1">
      <x:c r="A28" s="32" t="str">
        <x:v>葡萄牙</x:v>
      </x:c>
      <x:c r="B28" s="32" t="str">
        <x:v>歐洲</x:v>
      </x:c>
      <x:c r="C28" s="28" t="str">
        <x:v>葡萄牙、里斯本、貝倫塔、羅卡角、波多、杜羅河、辛特拉、佩納宮、法朵</x:v>
      </x:c>
      <x:c r="D28" s="28" t="str">
        <x:v>歐洲天涯海角、葡式、彩色宮殿、澳門葡式、航海王國</x:v>
      </x:c>
      <x:c r="E28" s="28" t="str">
        <x:v>葡式/航海王國可能指澳門或其他文案；需搭配里斯本、羅卡角、波多。</x:v>
      </x:c>
      <x:c r="F28" s="28" t="str">
        <x:v>命中里斯本、貝倫塔、羅卡角、波多、辛特拉時判葡萄牙。</x:v>
      </x:c>
      <x:c r="G28" s="32" t="str">
        <x:v>High</x:v>
      </x:c>
      <x:c r="H28" s="32" t="str">
        <x:v>只出現葡式建築、航海風、彩色宮殿。</x:v>
      </x:c>
      <x:c r="I28" s="32" t="str">
        <x:v>啟用</x:v>
      </x:c>
      <x:c r="J28" s="32" t="str">
        <x:v>2026-05-26</x:v>
      </x:c>
      <x:c r="K28" s="28" t="str"/>
      <x:c r="L28" s="32" t="n">
        <x:f>IF(TRIM(C28)="",0,LEN(C28)-LEN(SUBSTITUTE(C28,"、",""))+1)</x:f>
        <x:v>9</x:v>
      </x:c>
      <x:c r="M28" s="32" t="n">
        <x:f>IF(TRIM(D28)="",0,LEN(D28)-LEN(SUBSTITUTE(D28,"、",""))+1)</x:f>
        <x:v>5</x:v>
      </x:c>
    </x:row>
    <x:row r="29" ht="78" customHeight="1">
      <x:c r="A29" s="32" t="str">
        <x:v>希臘</x:v>
      </x:c>
      <x:c r="B29" s="32" t="str">
        <x:v>歐洲</x:v>
      </x:c>
      <x:c r="C29" s="28" t="str">
        <x:v>希臘、雅典、衛城、帕德嫩神廟、聖托里尼、米克諾斯、藍頂教堂、愛琴海、札金索斯</x:v>
      </x:c>
      <x:c r="D29" s="28" t="str">
        <x:v>藍白小鎮、愛琴海風、希臘風、藍頂建築、地中海風</x:v>
      </x:c>
      <x:c r="E29" s="28" t="str">
        <x:v>藍白/希臘風可能為仿景或民宿；需搭配聖托里尼、雅典、愛琴海等。</x:v>
      </x:c>
      <x:c r="F29" s="28" t="str">
        <x:v>命中雅典衛城、聖托里尼、米克諾斯、藍頂教堂時判希臘。</x:v>
      </x:c>
      <x:c r="G29" s="32" t="str">
        <x:v>High</x:v>
      </x:c>
      <x:c r="H29" s="32" t="str">
        <x:v>只出現藍白小鎮、希臘風、地中海風。</x:v>
      </x:c>
      <x:c r="I29" s="32" t="str">
        <x:v>啟用</x:v>
      </x:c>
      <x:c r="J29" s="32" t="str">
        <x:v>2026-05-26</x:v>
      </x:c>
      <x:c r="K29" s="28" t="str"/>
      <x:c r="L29" s="32" t="n">
        <x:f>IF(TRIM(C29)="",0,LEN(C29)-LEN(SUBSTITUTE(C29,"、",""))+1)</x:f>
        <x:v>9</x:v>
      </x:c>
      <x:c r="M29" s="32" t="n">
        <x:f>IF(TRIM(D29)="",0,LEN(D29)-LEN(SUBSTITUTE(D29,"、",""))+1)</x:f>
        <x:v>5</x:v>
      </x:c>
    </x:row>
    <x:row r="30" ht="78" customHeight="1">
      <x:c r="A30" s="32" t="str">
        <x:v>捷克</x:v>
      </x:c>
      <x:c r="B30" s="32" t="str">
        <x:v>歐洲</x:v>
      </x:c>
      <x:c r="C30" s="28" t="str">
        <x:v>捷克、布拉格、查理大橋、布拉格城堡、老城廣場、天文鐘、庫倫洛夫、CK小鎮</x:v>
      </x:c>
      <x:c r="D30" s="28" t="str">
        <x:v>童話小鎮、中世紀古城、歐洲小鎮、城堡小鎮</x:v>
      </x:c>
      <x:c r="E30" s="28" t="str">
        <x:v>童話小鎮/中世紀古城為弱信號；需搭配布拉格或 CK 小鎮。</x:v>
      </x:c>
      <x:c r="F30" s="28" t="str">
        <x:v>命中布拉格、查理大橋、天文鐘、CK小鎮時判捷克。</x:v>
      </x:c>
      <x:c r="G30" s="32" t="str">
        <x:v>High</x:v>
      </x:c>
      <x:c r="H30" s="32" t="str">
        <x:v>只出現童話小鎮、中世紀古城。</x:v>
      </x:c>
      <x:c r="I30" s="32" t="str">
        <x:v>啟用</x:v>
      </x:c>
      <x:c r="J30" s="32" t="str">
        <x:v>2026-05-26</x:v>
      </x:c>
      <x:c r="K30" s="28" t="str"/>
      <x:c r="L30" s="32" t="n">
        <x:f>IF(TRIM(C30)="",0,LEN(C30)-LEN(SUBSTITUTE(C30,"、",""))+1)</x:f>
        <x:v>8</x:v>
      </x:c>
      <x:c r="M30" s="32" t="n">
        <x:f>IF(TRIM(D30)="",0,LEN(D30)-LEN(SUBSTITUTE(D30,"、",""))+1)</x:f>
        <x:v>4</x:v>
      </x:c>
    </x:row>
    <x:row r="31" ht="78" customHeight="1">
      <x:c r="A31" s="32" t="str">
        <x:v>匈牙利</x:v>
      </x:c>
      <x:c r="B31" s="32" t="str">
        <x:v>歐洲</x:v>
      </x:c>
      <x:c r="C31" s="28" t="str">
        <x:v>匈牙利、布達佩斯、漁人堡、國會大廈、塞切尼溫泉、英雄廣場、多瑙河夜景</x:v>
      </x:c>
      <x:c r="D31" s="28" t="str">
        <x:v>多瑙河、歐洲夜景、溫泉、城堡山</x:v>
      </x:c>
      <x:c r="E31" s="28" t="str">
        <x:v>多瑙河橫跨多國；需搭配布達佩斯、漁人堡、國會大廈。</x:v>
      </x:c>
      <x:c r="F31" s="28" t="str">
        <x:v>命中布達佩斯、漁人堡、國會大廈、塞切尼溫泉時判匈牙利。</x:v>
      </x:c>
      <x:c r="G31" s="32" t="str">
        <x:v>High</x:v>
      </x:c>
      <x:c r="H31" s="32" t="str">
        <x:v>只出現多瑙河、歐洲夜景、溫泉。</x:v>
      </x:c>
      <x:c r="I31" s="32" t="str">
        <x:v>啟用</x:v>
      </x:c>
      <x:c r="J31" s="32" t="str">
        <x:v>2026-05-26</x:v>
      </x:c>
      <x:c r="K31" s="28" t="str"/>
      <x:c r="L31" s="32" t="n">
        <x:f>IF(TRIM(C31)="",0,LEN(C31)-LEN(SUBSTITUTE(C31,"、",""))+1)</x:f>
        <x:v>7</x:v>
      </x:c>
      <x:c r="M31" s="32" t="n">
        <x:f>IF(TRIM(D31)="",0,LEN(D31)-LEN(SUBSTITUTE(D31,"、",""))+1)</x:f>
        <x:v>4</x:v>
      </x:c>
    </x:row>
    <x:row r="32" ht="78" customHeight="1">
      <x:c r="A32" s="32" t="str">
        <x:v>克羅埃西亞</x:v>
      </x:c>
      <x:c r="B32" s="32" t="str">
        <x:v>歐洲</x:v>
      </x:c>
      <x:c r="C32" s="28" t="str">
        <x:v>克羅埃西亞、杜布羅夫尼克、十六湖、普利特維采、史普利特、戴克里先宮、亞得里亞海、札達爾</x:v>
      </x:c>
      <x:c r="D32" s="28" t="str">
        <x:v>權力遊戲、歐洲九寨溝、海岸古城、亞得里亞海風</x:v>
      </x:c>
      <x:c r="E32" s="28" t="str">
        <x:v>權力遊戲/歐洲九寨溝為弱信號；需搭配杜布羅夫尼克、十六湖。</x:v>
      </x:c>
      <x:c r="F32" s="28" t="str">
        <x:v>命中杜布羅夫尼克、十六湖、普利特維采、史普利特時判克羅埃西亞。</x:v>
      </x:c>
      <x:c r="G32" s="32" t="str">
        <x:v>High</x:v>
      </x:c>
      <x:c r="H32" s="32" t="str">
        <x:v>只出現權力遊戲、歐洲九寨溝、海岸古城。</x:v>
      </x:c>
      <x:c r="I32" s="32" t="str">
        <x:v>啟用</x:v>
      </x:c>
      <x:c r="J32" s="32" t="str">
        <x:v>2026-05-26</x:v>
      </x:c>
      <x:c r="K32" s="28" t="str"/>
      <x:c r="L32" s="32" t="n">
        <x:f>IF(TRIM(C32)="",0,LEN(C32)-LEN(SUBSTITUTE(C32,"、",""))+1)</x:f>
        <x:v>8</x:v>
      </x:c>
      <x:c r="M32" s="32" t="n">
        <x:f>IF(TRIM(D32)="",0,LEN(D32)-LEN(SUBSTITUTE(D32,"、",""))+1)</x:f>
        <x:v>4</x:v>
      </x:c>
    </x:row>
    <x:row r="33" ht="78" customHeight="1">
      <x:c r="A33" s="32" t="str">
        <x:v>埃及</x:v>
      </x:c>
      <x:c r="B33" s="32" t="str">
        <x:v>非洲/中東</x:v>
      </x:c>
      <x:c r="C33" s="28" t="str">
        <x:v>埃及、開羅、吉薩金字塔、獅身人面像、尼羅河、路克索、阿布辛貝、帝王谷、亞斯文、紅海</x:v>
      </x:c>
      <x:c r="D33" s="28" t="str">
        <x:v>金字塔、沙漠、古文明、尼羅河、法老王</x:v>
      </x:c>
      <x:c r="E33" s="28" t="str">
        <x:v>金字塔可能是埃及或墨西哥；沙漠/古文明不是唯一。需搭配開羅、吉薩、獅身人面像。</x:v>
      </x:c>
      <x:c r="F33" s="28" t="str">
        <x:v>命中吉薩金字塔、獅身人面像、開羅、路克索、阿布辛貝時判埃及。</x:v>
      </x:c>
      <x:c r="G33" s="32" t="str">
        <x:v>High</x:v>
      </x:c>
      <x:c r="H33" s="32" t="str">
        <x:v>只出現金字塔、沙漠、古文明，未出現埃及地名。</x:v>
      </x:c>
      <x:c r="I33" s="32" t="str">
        <x:v>啟用</x:v>
      </x:c>
      <x:c r="J33" s="32" t="str">
        <x:v>2026-05-26</x:v>
      </x:c>
      <x:c r="K33" s="28" t="str"/>
      <x:c r="L33" s="32" t="n">
        <x:f>IF(TRIM(C33)="",0,LEN(C33)-LEN(SUBSTITUTE(C33,"、",""))+1)</x:f>
        <x:v>10</x:v>
      </x:c>
      <x:c r="M33" s="32" t="n">
        <x:f>IF(TRIM(D33)="",0,LEN(D33)-LEN(SUBSTITUTE(D33,"、",""))+1)</x:f>
        <x:v>5</x:v>
      </x:c>
    </x:row>
    <x:row r="34" ht="78" customHeight="1">
      <x:c r="A34" s="32" t="str">
        <x:v>摩洛哥</x:v>
      </x:c>
      <x:c r="B34" s="32" t="str">
        <x:v>非洲/中東</x:v>
      </x:c>
      <x:c r="C34" s="28" t="str">
        <x:v>摩洛哥、卡薩布蘭卡、馬拉喀什、菲斯、舍夫沙萬、藍色山城、撒哈拉沙漠、梅爾祖卡、哈桑二世清真寺</x:v>
      </x:c>
      <x:c r="D34" s="28" t="str">
        <x:v>藍色山城、撒哈拉、阿拉伯風、清真寺、沙漠帳篷</x:v>
      </x:c>
      <x:c r="E34" s="28" t="str">
        <x:v>撒哈拉/清真寺/阿拉伯風都可能跨國；需搭配舍夫沙萬、馬拉喀什、菲斯。</x:v>
      </x:c>
      <x:c r="F34" s="28" t="str">
        <x:v>命中舍夫沙萬、馬拉喀什、菲斯、哈桑二世清真寺時判摩洛哥。</x:v>
      </x:c>
      <x:c r="G34" s="32" t="str">
        <x:v>High</x:v>
      </x:c>
      <x:c r="H34" s="32" t="str">
        <x:v>只出現撒哈拉、藍色山城、清真寺。</x:v>
      </x:c>
      <x:c r="I34" s="32" t="str">
        <x:v>啟用</x:v>
      </x:c>
      <x:c r="J34" s="32" t="str">
        <x:v>2026-05-26</x:v>
      </x:c>
      <x:c r="K34" s="28" t="str"/>
      <x:c r="L34" s="32" t="n">
        <x:f>IF(TRIM(C34)="",0,LEN(C34)-LEN(SUBSTITUTE(C34,"、",""))+1)</x:f>
        <x:v>9</x:v>
      </x:c>
      <x:c r="M34" s="32" t="n">
        <x:f>IF(TRIM(D34)="",0,LEN(D34)-LEN(SUBSTITUTE(D34,"、",""))+1)</x:f>
        <x:v>5</x:v>
      </x:c>
    </x:row>
    <x:row r="35" ht="78" customHeight="1">
      <x:c r="A35" s="32" t="str">
        <x:v>南非</x:v>
      </x:c>
      <x:c r="B35" s="32" t="str">
        <x:v>非洲</x:v>
      </x:c>
      <x:c r="C35" s="28" t="str">
        <x:v>南非、開普敦、桌山、好望角、企鵝灘、約翰尼斯堡、克魯格國家公園、酒鄉</x:v>
      </x:c>
      <x:c r="D35" s="28" t="str">
        <x:v>Safari、非洲動物、酒鄉、企鵝、野生動物</x:v>
      </x:c>
      <x:c r="E35" s="28" t="str">
        <x:v>Safari/非洲動物可能是肯亞、坦尚尼亞等；需搭配桌山、好望角、克魯格。</x:v>
      </x:c>
      <x:c r="F35" s="28" t="str">
        <x:v>命中開普敦、桌山、好望角、克魯格國家公園時判南非。</x:v>
      </x:c>
      <x:c r="G35" s="32" t="str">
        <x:v>High</x:v>
      </x:c>
      <x:c r="H35" s="32" t="str">
        <x:v>只出現 Safari、非洲動物、企鵝或酒鄉。</x:v>
      </x:c>
      <x:c r="I35" s="32" t="str">
        <x:v>啟用</x:v>
      </x:c>
      <x:c r="J35" s="32" t="str">
        <x:v>2026-05-26</x:v>
      </x:c>
      <x:c r="K35" s="28" t="str"/>
      <x:c r="L35" s="32" t="n">
        <x:f>IF(TRIM(C35)="",0,LEN(C35)-LEN(SUBSTITUTE(C35,"、",""))+1)</x:f>
        <x:v>8</x:v>
      </x:c>
      <x:c r="M35" s="32" t="n">
        <x:f>IF(TRIM(D35)="",0,LEN(D35)-LEN(SUBSTITUTE(D35,"、",""))+1)</x:f>
        <x:v>5</x:v>
      </x:c>
    </x:row>
    <x:row r="36" ht="78" customHeight="1">
      <x:c r="A36" s="32" t="str">
        <x:v>澳洲</x:v>
      </x:c>
      <x:c r="B36" s="32" t="str">
        <x:v>大洋洲</x:v>
      </x:c>
      <x:c r="C36" s="28" t="str">
        <x:v>澳洲、雪梨、墨爾本、布里斯本、黃金海岸、雪梨歌劇院、雪梨港灣大橋、大堡礁、凱恩斯、大洋路、十二門徒石、烏魯魯、塔斯馬尼亞</x:v>
      </x:c>
      <x:c r="D36" s="28" t="str">
        <x:v>南半球、海岸公路、歌劇院、玻璃海、黃金海岸泛稱</x:v>
      </x:c>
      <x:c r="E36" s="28" t="str">
        <x:v>歌劇院/海岸公路可能泛稱；需搭配雪梨歌劇院、大堡礁、十二門徒石。</x:v>
      </x:c>
      <x:c r="F36" s="28" t="str">
        <x:v>命中雪梨歌劇院、大堡礁、十二門徒石、烏魯魯、塔斯馬尼亞時判澳洲。</x:v>
      </x:c>
      <x:c r="G36" s="32" t="str">
        <x:v>High</x:v>
      </x:c>
      <x:c r="H36" s="32" t="str">
        <x:v>只出現南半球、海岸公路、玻璃海。</x:v>
      </x:c>
      <x:c r="I36" s="32" t="str">
        <x:v>啟用</x:v>
      </x:c>
      <x:c r="J36" s="32" t="str">
        <x:v>2026-05-26</x:v>
      </x:c>
      <x:c r="K36" s="28" t="str"/>
      <x:c r="L36" s="32" t="n">
        <x:f>IF(TRIM(C36)="",0,LEN(C36)-LEN(SUBSTITUTE(C36,"、",""))+1)</x:f>
        <x:v>13</x:v>
      </x:c>
      <x:c r="M36" s="32" t="n">
        <x:f>IF(TRIM(D36)="",0,LEN(D36)-LEN(SUBSTITUTE(D36,"、",""))+1)</x:f>
        <x:v>5</x:v>
      </x:c>
    </x:row>
    <x:row r="37" ht="78" customHeight="1">
      <x:c r="A37" s="32" t="str">
        <x:v>紐西蘭</x:v>
      </x:c>
      <x:c r="B37" s="32" t="str">
        <x:v>大洋洲</x:v>
      </x:c>
      <x:c r="C37" s="28" t="str">
        <x:v>紐西蘭、奧克蘭、皇后鎮、米佛峽灣、庫克山、蒂卡波湖、好牧羊人教堂、羅托魯瓦、哈比村、魔戒、南島、北島</x:v>
      </x:c>
      <x:c r="D37" s="28" t="str">
        <x:v>魔戒、哈比風、峽灣、南島、冰河、雪山</x:v>
      </x:c>
      <x:c r="E37" s="28" t="str">
        <x:v>魔戒/哈比風可作為強相關但仍需搭配哈比村、Matamata 或紐西蘭地名；峽灣不唯一。</x:v>
      </x:c>
      <x:c r="F37" s="28" t="str">
        <x:v>命中皇后鎮、米佛峽灣、蒂卡波湖、哈比村、庫克山時判紐西蘭。</x:v>
      </x:c>
      <x:c r="G37" s="32" t="str">
        <x:v>High</x:v>
      </x:c>
      <x:c r="H37" s="32" t="str">
        <x:v>只出現魔戒、峽灣、雪山、冰河。</x:v>
      </x:c>
      <x:c r="I37" s="32" t="str">
        <x:v>啟用</x:v>
      </x:c>
      <x:c r="J37" s="32" t="str">
        <x:v>2026-05-26</x:v>
      </x:c>
      <x:c r="K37" s="28" t="str"/>
      <x:c r="L37" s="32" t="n">
        <x:f>IF(TRIM(C37)="",0,LEN(C37)-LEN(SUBSTITUTE(C37,"、",""))+1)</x:f>
        <x:v>12</x:v>
      </x:c>
      <x:c r="M37" s="32" t="n">
        <x:f>IF(TRIM(D37)="",0,LEN(D37)-LEN(SUBSTITUTE(D37,"、",""))+1)</x:f>
        <x:v>6</x:v>
      </x:c>
    </x:row>
    <x:row r="38" ht="78" customHeight="1">
      <x:c r="A38" s="32" t="str">
        <x:v>美國</x:v>
      </x:c>
      <x:c r="B38" s="32" t="str">
        <x:v>美洲</x:v>
      </x:c>
      <x:c r="C38" s="28" t="str">
        <x:v>美國、紐約、自由女神、時代廣場、中央公園、洛杉磯、好萊塢、拉斯維加斯、大峽谷、舊金山、金門大橋、優勝美地、黃石、奧蘭多、迪士尼、環球影城</x:v>
      </x:c>
      <x:c r="D38" s="28" t="str">
        <x:v>自由女神仿景、迪士尼、環球影城、威尼斯人、巴黎鐵塔、金門、好萊塢風</x:v>
      </x:c>
      <x:c r="E38" s="28" t="str">
        <x:v>迪士尼/環球影城需搭配洛杉磯或奧蘭多；拉斯維加斯有多種仿景，勿誤判歐洲國。</x:v>
      </x:c>
      <x:c r="F38" s="28" t="str">
        <x:v>命中紐約、自由女神、洛杉磯、拉斯維加斯、大峽谷、金門大橋、黃石時判美國。</x:v>
      </x:c>
      <x:c r="G38" s="32" t="str">
        <x:v>High</x:v>
      </x:c>
      <x:c r="H38" s="32" t="str">
        <x:v>只出現迪士尼、環球影城、自由女神仿景、好萊塢風。</x:v>
      </x:c>
      <x:c r="I38" s="32" t="str">
        <x:v>啟用</x:v>
      </x:c>
      <x:c r="J38" s="32" t="str">
        <x:v>2026-05-26</x:v>
      </x:c>
      <x:c r="K38" s="28" t="str"/>
      <x:c r="L38" s="32" t="n">
        <x:f>IF(TRIM(C38)="",0,LEN(C38)-LEN(SUBSTITUTE(C38,"、",""))+1)</x:f>
        <x:v>16</x:v>
      </x:c>
      <x:c r="M38" s="32" t="n">
        <x:f>IF(TRIM(D38)="",0,LEN(D38)-LEN(SUBSTITUTE(D38,"、",""))+1)</x:f>
        <x:v>7</x:v>
      </x:c>
    </x:row>
    <x:row r="39" ht="78" customHeight="1">
      <x:c r="A39" s="32" t="str">
        <x:v>加拿大</x:v>
      </x:c>
      <x:c r="B39" s="32" t="str">
        <x:v>美洲</x:v>
      </x:c>
      <x:c r="C39" s="28" t="str">
        <x:v>加拿大、溫哥華、多倫多、尼加拉瀑布、班夫、露易絲湖、洛磯山脈、魁北克、蒙特婁、黃刀鎮、極光</x:v>
      </x:c>
      <x:c r="D39" s="28" t="str">
        <x:v>小法國、洛磯、極光、尼加拉瀑布、歐風古城、楓葉</x:v>
      </x:c>
      <x:c r="E39" s="28" t="str">
        <x:v>極光多國皆有；尼加拉瀑布橫跨美加，需搭配多倫多或加拿大行程。</x:v>
      </x:c>
      <x:c r="F39" s="28" t="str">
        <x:v>命中班夫、露易絲湖、黃刀鎮、溫哥華、多倫多、魁北克時判加拿大。</x:v>
      </x:c>
      <x:c r="G39" s="32" t="str">
        <x:v>High</x:v>
      </x:c>
      <x:c r="H39" s="32" t="str">
        <x:v>只出現極光、尼加拉、楓葉、小法國。</x:v>
      </x:c>
      <x:c r="I39" s="32" t="str">
        <x:v>啟用</x:v>
      </x:c>
      <x:c r="J39" s="32" t="str">
        <x:v>2026-05-26</x:v>
      </x:c>
      <x:c r="K39" s="28" t="str"/>
      <x:c r="L39" s="32" t="n">
        <x:f>IF(TRIM(C39)="",0,LEN(C39)-LEN(SUBSTITUTE(C39,"、",""))+1)</x:f>
        <x:v>11</x:v>
      </x:c>
      <x:c r="M39" s="32" t="n">
        <x:f>IF(TRIM(D39)="",0,LEN(D39)-LEN(SUBSTITUTE(D39,"、",""))+1)</x:f>
        <x:v>6</x:v>
      </x:c>
    </x:row>
    <x:row r="40" ht="78" customHeight="1">
      <x:c r="A40" s="32" t="str">
        <x:v>墨西哥</x:v>
      </x:c>
      <x:c r="B40" s="32" t="str">
        <x:v>美洲</x:v>
      </x:c>
      <x:c r="C40" s="28" t="str">
        <x:v>墨西哥、坎昆、奇琴伊察、圖倫、墨西哥城、瓜納華托、亡靈節、太陽金字塔、馬雅</x:v>
      </x:c>
      <x:c r="D40" s="28" t="str">
        <x:v>金字塔、加勒比海、古文明、沙漠、彩色小鎮</x:v>
      </x:c>
      <x:c r="E40" s="28" t="str">
        <x:v>金字塔可能被誤判埃及；需搭配馬雅、奇琴伊察、坎昆。</x:v>
      </x:c>
      <x:c r="F40" s="28" t="str">
        <x:v>命中坎昆、奇琴伊察、馬雅、亡靈節、墨西哥城時判墨西哥。</x:v>
      </x:c>
      <x:c r="G40" s="32" t="str">
        <x:v>High</x:v>
      </x:c>
      <x:c r="H40" s="32" t="str">
        <x:v>只出現金字塔、古文明、加勒比海、彩色小鎮。</x:v>
      </x:c>
      <x:c r="I40" s="32" t="str">
        <x:v>啟用</x:v>
      </x:c>
      <x:c r="J40" s="32" t="str">
        <x:v>2026-05-26</x:v>
      </x:c>
      <x:c r="K40" s="28" t="str"/>
      <x:c r="L40" s="32" t="n">
        <x:f>IF(TRIM(C40)="",0,LEN(C40)-LEN(SUBSTITUTE(C40,"、",""))+1)</x:f>
        <x:v>9</x:v>
      </x:c>
      <x:c r="M40" s="32" t="n">
        <x:f>IF(TRIM(D40)="",0,LEN(D40)-LEN(SUBSTITUTE(D40,"、",""))+1)</x:f>
        <x:v>5</x:v>
      </x:c>
    </x:row>
    <x:row r="41" ht="78" customHeight="1">
      <x:c r="A41" s="32" t="str">
        <x:v>冰島</x:v>
      </x:c>
      <x:c r="B41" s="32" t="str">
        <x:v>歐洲/北歐</x:v>
      </x:c>
      <x:c r="C41" s="28" t="str">
        <x:v>冰島、雷克雅維克、藍湖、黃金圈、間歇泉、黃金瀑布、辛格維利爾、黑沙灘、傑古沙龍冰河湖、極光</x:v>
      </x:c>
      <x:c r="D41" s="28" t="str">
        <x:v>極光、冰河、藍湖、黑沙灘、瀑布、火山</x:v>
      </x:c>
      <x:c r="E41" s="28" t="str">
        <x:v>極光/冰河/火山多國皆有；需搭配冰島地名或黃金圈。</x:v>
      </x:c>
      <x:c r="F41" s="28" t="str">
        <x:v>命中雷克雅維克、藍湖、黃金圈、黑沙灘、傑古沙龍冰河湖時判冰島。</x:v>
      </x:c>
      <x:c r="G41" s="32" t="str">
        <x:v>High</x:v>
      </x:c>
      <x:c r="H41" s="32" t="str">
        <x:v>只出現極光、冰河、火山、瀑布。</x:v>
      </x:c>
      <x:c r="I41" s="32" t="str">
        <x:v>啟用</x:v>
      </x:c>
      <x:c r="J41" s="32" t="str">
        <x:v>2026-05-26</x:v>
      </x:c>
      <x:c r="K41" s="28" t="str"/>
      <x:c r="L41" s="32" t="n">
        <x:f>IF(TRIM(C41)="",0,LEN(C41)-LEN(SUBSTITUTE(C41,"、",""))+1)</x:f>
        <x:v>10</x:v>
      </x:c>
      <x:c r="M41" s="32" t="n">
        <x:f>IF(TRIM(D41)="",0,LEN(D41)-LEN(SUBSTITUTE(D41,"、",""))+1)</x:f>
        <x:v>6</x:v>
      </x:c>
    </x:row>
    <x:row r="42" ht="78" customHeight="1">
      <x:c r="A42" s="32" t="str">
        <x:v>芬蘭</x:v>
      </x:c>
      <x:c r="B42" s="32" t="str">
        <x:v>歐洲/北歐</x:v>
      </x:c>
      <x:c r="C42" s="28" t="str">
        <x:v>芬蘭、赫爾辛基、羅瓦涅米、聖誕老人村、玻璃屋、拉普蘭、薩利色爾卡、極光</x:v>
      </x:c>
      <x:c r="D42" s="28" t="str">
        <x:v>極光、聖誕村、玻璃屋、雪屋、北歐童話</x:v>
      </x:c>
      <x:c r="E42" s="28" t="str">
        <x:v>極光/玻璃屋可在多國；需搭配羅瓦涅米、拉普蘭、芬蘭地名。</x:v>
      </x:c>
      <x:c r="F42" s="28" t="str">
        <x:v>命中羅瓦涅米、聖誕老人村、赫爾辛基、拉普蘭時判芬蘭。</x:v>
      </x:c>
      <x:c r="G42" s="32" t="str">
        <x:v>High</x:v>
      </x:c>
      <x:c r="H42" s="32" t="str">
        <x:v>只出現極光、玻璃屋、聖誕村。</x:v>
      </x:c>
      <x:c r="I42" s="32" t="str">
        <x:v>啟用</x:v>
      </x:c>
      <x:c r="J42" s="32" t="str">
        <x:v>2026-05-26</x:v>
      </x:c>
      <x:c r="K42" s="28" t="str"/>
      <x:c r="L42" s="32" t="n">
        <x:f>IF(TRIM(C42)="",0,LEN(C42)-LEN(SUBSTITUTE(C42,"、",""))+1)</x:f>
        <x:v>8</x:v>
      </x:c>
      <x:c r="M42" s="32" t="n">
        <x:f>IF(TRIM(D42)="",0,LEN(D42)-LEN(SUBSTITUTE(D42,"、",""))+1)</x:f>
        <x:v>5</x:v>
      </x:c>
    </x:row>
    <x:row r="43" ht="78" customHeight="1">
      <x:c r="A43" s="32" t="str">
        <x:v>挪威</x:v>
      </x:c>
      <x:c r="B43" s="32" t="str">
        <x:v>歐洲/北歐</x:v>
      </x:c>
      <x:c r="C43" s="28" t="str">
        <x:v>挪威、奧斯陸、卑爾根、松恩峽灣、蓋朗厄爾峽灣、羅弗敦、北角、特羅姆瑟、極光</x:v>
      </x:c>
      <x:c r="D43" s="28" t="str">
        <x:v>峽灣、極光、北角、北歐海岸、雪山</x:v>
      </x:c>
      <x:c r="E43" s="28" t="str">
        <x:v>峽灣/極光不唯一；需搭配卑爾根、松恩峽灣、羅弗敦、特羅姆瑟。</x:v>
      </x:c>
      <x:c r="F43" s="28" t="str">
        <x:v>命中松恩峽灣、蓋朗厄爾峽灣、羅弗敦、卑爾根時判挪威。</x:v>
      </x:c>
      <x:c r="G43" s="32" t="str">
        <x:v>High</x:v>
      </x:c>
      <x:c r="H43" s="32" t="str">
        <x:v>只出現峽灣、極光、北歐海岸。</x:v>
      </x:c>
      <x:c r="I43" s="32" t="str">
        <x:v>啟用</x:v>
      </x:c>
      <x:c r="J43" s="32" t="str">
        <x:v>2026-05-26</x:v>
      </x:c>
      <x:c r="K43" s="28" t="str"/>
      <x:c r="L43" s="32" t="n">
        <x:f>IF(TRIM(C43)="",0,LEN(C43)-LEN(SUBSTITUTE(C43,"、",""))+1)</x:f>
        <x:v>9</x:v>
      </x:c>
      <x:c r="M43" s="32" t="n">
        <x:f>IF(TRIM(D43)="",0,LEN(D43)-LEN(SUBSTITUTE(D43,"、",""))+1)</x:f>
        <x:v>5</x:v>
      </x:c>
    </x:row>
    <x:row r="44" ht="78" customHeight="1">
      <x:c r="A44" s="32" t="str">
        <x:v>印度</x:v>
      </x:c>
      <x:c r="B44" s="32" t="str">
        <x:v>南亞</x:v>
      </x:c>
      <x:c r="C44" s="28" t="str">
        <x:v>印度、德里、阿格拉、泰姬瑪哈陵、齋浦爾、風之宮殿、瓦拉納西、恆河、孟買、齋沙默爾</x:v>
      </x:c>
      <x:c r="D44" s="28" t="str">
        <x:v>皇宮、粉紅城市、神秘古國、沙漠城、宗教聖地</x:v>
      </x:c>
      <x:c r="E44" s="28" t="str">
        <x:v>皇宮/宗教聖地不唯一；需搭配泰姬瑪哈陵、阿格拉、恆河等。</x:v>
      </x:c>
      <x:c r="F44" s="28" t="str">
        <x:v>命中泰姬瑪哈陵、阿格拉、齋浦爾、瓦拉納西、恆河時判印度。</x:v>
      </x:c>
      <x:c r="G44" s="32" t="str">
        <x:v>High</x:v>
      </x:c>
      <x:c r="H44" s="32" t="str">
        <x:v>只出現皇宮、粉紅城市、宗教聖地。</x:v>
      </x:c>
      <x:c r="I44" s="32" t="str">
        <x:v>啟用</x:v>
      </x:c>
      <x:c r="J44" s="32" t="str">
        <x:v>2026-05-26</x:v>
      </x:c>
      <x:c r="K44" s="28" t="str"/>
      <x:c r="L44" s="32" t="n">
        <x:f>IF(TRIM(C44)="",0,LEN(C44)-LEN(SUBSTITUTE(C44,"、",""))+1)</x:f>
        <x:v>10</x:v>
      </x:c>
      <x:c r="M44" s="32" t="n">
        <x:f>IF(TRIM(D44)="",0,LEN(D44)-LEN(SUBSTITUTE(D44,"、",""))+1)</x:f>
        <x:v>5</x:v>
      </x:c>
    </x:row>
    <x:row r="45" ht="78" customHeight="1">
      <x:c r="A45" s="32" t="str">
        <x:v>尼泊爾</x:v>
      </x:c>
      <x:c r="B45" s="32" t="str">
        <x:v>南亞</x:v>
      </x:c>
      <x:c r="C45" s="28" t="str">
        <x:v>尼泊爾、加德滿都、博卡拉、安娜普urna、安娜普納、珠峰基地營、奇旺、費瓦湖、納加闊特</x:v>
      </x:c>
      <x:c r="D45" s="28" t="str">
        <x:v>喜馬拉雅、雪山、佛教聖地、健行天堂、珠峰</x:v>
      </x:c>
      <x:c r="E45" s="28" t="str">
        <x:v>喜馬拉雅/珠峰可能跨國或活動泛稱；需搭配加德滿都、博卡拉、尼泊爾。</x:v>
      </x:c>
      <x:c r="F45" s="28" t="str">
        <x:v>命中加德滿都、博卡拉、奇旺、珠峰基地營時判尼泊爾。</x:v>
      </x:c>
      <x:c r="G45" s="32" t="str">
        <x:v>High</x:v>
      </x:c>
      <x:c r="H45" s="32" t="str">
        <x:v>只出現喜馬拉雅、雪山、健行天堂。</x:v>
      </x:c>
      <x:c r="I45" s="32" t="str">
        <x:v>啟用</x:v>
      </x:c>
      <x:c r="J45" s="32" t="str">
        <x:v>2026-05-26</x:v>
      </x:c>
      <x:c r="K45" s="28" t="str"/>
      <x:c r="L45" s="32" t="n">
        <x:f>IF(TRIM(C45)="",0,LEN(C45)-LEN(SUBSTITUTE(C45,"、",""))+1)</x:f>
        <x:v>9</x:v>
      </x:c>
      <x:c r="M45" s="32" t="n">
        <x:f>IF(TRIM(D45)="",0,LEN(D45)-LEN(SUBSTITUTE(D45,"、",""))+1)</x:f>
        <x:v>5</x:v>
      </x:c>
    </x:row>
  </x:sheetData>
  <x:mergeCells>
    <x:mergeCell ref="A1:M1"/>
    <x:mergeCell ref="A2:M2"/>
  </x:mergeCells>
  <x:conditionalFormatting sqref="G5:G200">
    <x:cfRule type="cellIs" dxfId="0" priority="1">
      <x:formula>"High"</x:formula>
    </x:cfRule>
    <x:cfRule type="cellIs" dxfId="1" priority="2">
      <x:formula>"Medium"</x:formula>
    </x:cfRule>
    <x:cfRule type="cellIs" dxfId="2" priority="3">
      <x:formula>"Low"</x:formula>
    </x:cfRule>
  </x:conditionalFormatting>
  <x:conditionalFormatting sqref="I5:I200">
    <x:cfRule type="cellIs" dxfId="3" priority="4">
      <x:formula>"待確認"</x:formula>
    </x:cfRule>
    <x:cfRule type="cellIs" dxfId="4" priority="5">
      <x:formula>"停用"</x:formula>
    </x:cfRule>
  </x:conditionalFormatting>
  <x:dataValidations count="2">
    <x:dataValidation type="list" sqref="G5:G200">
      <x:formula1>"High,Medium,Low"</x:formula1>
    </x:dataValidation>
    <x:dataValidation type="list" sqref="I5:I200">
      <x:formula1>"啟用,待確認,停用"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97dbcbd1fc4b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6" hidden="0" customWidth="1"/>
    <x:col min="4" max="4" width="56" hidden="0" customWidth="1"/>
    <x:col min="5" max="5" width="40" hidden="0" customWidth="1"/>
  </x:cols>
  <x:sheetData>
    <x:row r="1" ht="32" customHeight="1">
      <x:c r="A1" s="38" t="str">
        <x:v>弱信號/排除詞</x:v>
      </x:c>
      <x:c r="B1" s="38" t="str">
        <x:v>不可直接判成</x:v>
      </x:c>
      <x:c r="C1" s="38" t="str">
        <x:v>可能正確國家/地區</x:v>
      </x:c>
      <x:c r="D1" s="38" t="str">
        <x:v>需要搭配的強信號</x:v>
      </x:c>
      <x:c r="E1" s="38" t="str">
        <x:v>建議 AI 處理</x:v>
      </x:c>
    </x:row>
    <x:row r="2" ht="56" customHeight="1">
      <x:c r="A2" s="28" t="str">
        <x:v>威尼斯、貢多拉、水都</x:v>
      </x:c>
      <x:c r="B2" s="28" t="str">
        <x:v>義大利</x:v>
      </x:c>
      <x:c r="C2" s="28" t="str">
        <x:v>義大利、澳門、越南、其他仿景</x:v>
      </x:c>
      <x:c r="D2" s="28" t="str">
        <x:v>義大利：聖馬可廣場/嘆息橋/羅馬；越南：富國島/Grand World/Charm of Venice；澳門：威尼斯人/路氹/大三巴</x:v>
      </x:c>
      <x:c r="E2" s="28" t="str">
        <x:v>沒有強信號時輸出無法判斷並人工覆核。</x:v>
      </x:c>
    </x:row>
    <x:row r="3" ht="56" customHeight="1">
      <x:c r="A3" s="28" t="str">
        <x:v>巴黎、法式、艾菲爾鐵塔</x:v>
      </x:c>
      <x:c r="B3" s="28" t="str">
        <x:v>法國</x:v>
      </x:c>
      <x:c r="C3" s="28" t="str">
        <x:v>法國、澳門、拉斯維加斯、其他仿景</x:v>
      </x:c>
      <x:c r="D3" s="28" t="str">
        <x:v>法國：巴黎/羅浮宮/凡爾賽；澳門：巴黎人/澳門；美國：拉斯維加斯</x:v>
      </x:c>
      <x:c r="E3" s="28" t="str">
        <x:v>若只出現巴黎風/法式，不判國家。</x:v>
      </x:c>
    </x:row>
    <x:row r="4" ht="56" customHeight="1">
      <x:c r="A4" s="28" t="str">
        <x:v>瑞士、小瑞士、瑞士村、阿爾卑斯風</x:v>
      </x:c>
      <x:c r="B4" s="28" t="str">
        <x:v>瑞士</x:v>
      </x:c>
      <x:c r="C4" s="28" t="str">
        <x:v>瑞士、韓國、台灣、中國、其他園區</x:v>
      </x:c>
      <x:c r="D4" s="28" t="str">
        <x:v>瑞士：少女峰/馬特洪峰/策馬特/琉森；其他：實際地名</x:v>
      </x:c>
      <x:c r="E4" s="28" t="str">
        <x:v>視為弱信號；需搭配國家地名。</x:v>
      </x:c>
    </x:row>
    <x:row r="5" ht="56" customHeight="1">
      <x:c r="A5" s="28" t="str">
        <x:v>馬爾地夫級、玻璃海、果凍海</x:v>
      </x:c>
      <x:c r="B5" s="28" t="str">
        <x:v>馬爾地夫</x:v>
      </x:c>
      <x:c r="C5" s="28" t="str">
        <x:v>菲律賓、泰國、印尼、馬來西亞、越南、馬爾地夫</x:v>
      </x:c>
      <x:c r="D5" s="28" t="str">
        <x:v>實際島名：長灘島/巴拉望/PP島/峇里島/仙本那/富國島</x:v>
      </x:c>
      <x:c r="E5" s="28" t="str">
        <x:v>不可直接判馬爾地夫。</x:v>
      </x:c>
    </x:row>
    <x:row r="6" ht="56" customHeight="1">
      <x:c r="A6" s="28" t="str">
        <x:v>小歐洲、歐風小鎮、童話小鎮</x:v>
      </x:c>
      <x:c r="B6" s="28" t="str">
        <x:v>歐洲任一國</x:v>
      </x:c>
      <x:c r="C6" s="28" t="str">
        <x:v>亞洲園區、歐洲真實城市、飯店度假村</x:v>
      </x:c>
      <x:c r="D6" s="28" t="str">
        <x:v>國家/城市/園區名，例如巴拿山、南怡島、布拉格、哈修塔特</x:v>
      </x:c>
      <x:c r="E6" s="28" t="str">
        <x:v>僅作輔助描述，不能作為國家依據。</x:v>
      </x:c>
    </x:row>
    <x:row r="7" ht="56" customHeight="1">
      <x:c r="A7" s="28" t="str">
        <x:v>迪士尼</x:v>
      </x:c>
      <x:c r="B7" s="28" t="str">
        <x:v>美國/日本/香港/法國/中國任一</x:v>
      </x:c>
      <x:c r="C7" s="28" t="str">
        <x:v>日本、香港、中國、法國、美國</x:v>
      </x:c>
      <x:c r="D7" s="28" t="str">
        <x:v>東京/香港/上海/巴黎/洛杉磯/奧蘭多</x:v>
      </x:c>
      <x:c r="E7" s="28" t="str">
        <x:v>必須搭配城市或園區全名。</x:v>
      </x:c>
    </x:row>
    <x:row r="8" ht="56" customHeight="1">
      <x:c r="A8" s="28" t="str">
        <x:v>環球影城、Universal</x:v>
      </x:c>
      <x:c r="B8" s="28" t="str">
        <x:v>日本/新加坡/美國任一</x:v>
      </x:c>
      <x:c r="C8" s="28" t="str">
        <x:v>日本、新加坡、美國</x:v>
      </x:c>
      <x:c r="D8" s="28" t="str">
        <x:v>USJ/大阪；USS/聖淘沙；Hollywood/Los Angeles；Orlando</x:v>
      </x:c>
      <x:c r="E8" s="28" t="str">
        <x:v>必須搭配城市、縮寫或園區名稱。</x:v>
      </x:c>
    </x:row>
    <x:row r="9" ht="56" customHeight="1">
      <x:c r="A9" s="28" t="str">
        <x:v>熱氣球</x:v>
      </x:c>
      <x:c r="B9" s="28" t="str">
        <x:v>土耳其</x:v>
      </x:c>
      <x:c r="C9" s="28" t="str">
        <x:v>土耳其、埃及、澳洲、台灣、其他活動地</x:v>
      </x:c>
      <x:c r="D9" s="28" t="str">
        <x:v>卡帕多奇亞/土耳其地名</x:v>
      </x:c>
      <x:c r="E9" s="28" t="str">
        <x:v>沒有卡帕多奇亞時不要直接判土耳其。</x:v>
      </x:c>
    </x:row>
    <x:row r="10" ht="56" customHeight="1">
      <x:c r="A10" s="28" t="str">
        <x:v>沙漠、衝沙</x:v>
      </x:c>
      <x:c r="B10" s="28" t="str">
        <x:v>杜拜/埃及/摩洛哥任一</x:v>
      </x:c>
      <x:c r="C10" s="28" t="str">
        <x:v>阿聯酋、埃及、摩洛哥、約旦、其他沙漠</x:v>
      </x:c>
      <x:c r="D10" s="28" t="str">
        <x:v>杜拜/阿布達比；開羅/吉薩；馬拉喀什/梅爾祖卡</x:v>
      </x:c>
      <x:c r="E10" s="28" t="str">
        <x:v>需看城市和景點強信號。</x:v>
      </x:c>
    </x:row>
    <x:row r="11" ht="56" customHeight="1">
      <x:c r="A11" s="28" t="str">
        <x:v>金字塔</x:v>
      </x:c>
      <x:c r="B11" s="28" t="str">
        <x:v>埃及</x:v>
      </x:c>
      <x:c r="C11" s="28" t="str">
        <x:v>埃及、墨西哥、仿景</x:v>
      </x:c>
      <x:c r="D11" s="28" t="str">
        <x:v>埃及：吉薩/獅身人面像/開羅；墨西哥：馬雅/奇琴伊察/坎昆</x:v>
      </x:c>
      <x:c r="E11" s="28" t="str">
        <x:v>需判斷是埃及金字塔或馬雅金字塔。</x:v>
      </x:c>
    </x:row>
    <x:row r="12" ht="56" customHeight="1">
      <x:c r="A12" s="28" t="str">
        <x:v>羅浮宮</x:v>
      </x:c>
      <x:c r="B12" s="28" t="str">
        <x:v>法國</x:v>
      </x:c>
      <x:c r="C12" s="28" t="str">
        <x:v>法國、阿聯酋</x:v>
      </x:c>
      <x:c r="D12" s="28" t="str">
        <x:v>巴黎羅浮宮/塞納河；羅浮宮阿布達比/Abu Dhabi</x:v>
      </x:c>
      <x:c r="E12" s="28" t="str">
        <x:v>搭配城市決定。</x:v>
      </x:c>
    </x:row>
    <x:row r="13" ht="56" customHeight="1">
      <x:c r="A13" s="28" t="str">
        <x:v>自由女神</x:v>
      </x:c>
      <x:c r="B13" s="28" t="str">
        <x:v>美國</x:v>
      </x:c>
      <x:c r="C13" s="28" t="str">
        <x:v>美國、拉斯維加斯仿景、日本/其他仿景</x:v>
      </x:c>
      <x:c r="D13" s="28" t="str">
        <x:v>紐約/曼哈頓/時代廣場/中央公園</x:v>
      </x:c>
      <x:c r="E13" s="28" t="str">
        <x:v>仿景需人工覆核。</x:v>
      </x:c>
    </x:row>
    <x:row r="14" ht="56" customHeight="1">
      <x:c r="A14" s="28" t="str">
        <x:v>尼加拉瀑布</x:v>
      </x:c>
      <x:c r="B14" s="28" t="str">
        <x:v>加拿大</x:v>
      </x:c>
      <x:c r="C14" s="28" t="str">
        <x:v>加拿大、美國</x:v>
      </x:c>
      <x:c r="D14" s="28" t="str">
        <x:v>多倫多/加拿大東岸；紐約州/水牛城</x:v>
      </x:c>
      <x:c r="E14" s="28" t="str">
        <x:v>依行程城市判斷，無城市時需覆核。</x:v>
      </x:c>
    </x:row>
    <x:row r="15" ht="56" customHeight="1">
      <x:c r="A15" s="28" t="str">
        <x:v>極光</x:v>
      </x:c>
      <x:c r="B15" s="28" t="str">
        <x:v>加拿大/冰島/芬蘭/挪威任一</x:v>
      </x:c>
      <x:c r="C15" s="28" t="str">
        <x:v>加拿大、冰島、芬蘭、挪威、瑞典等</x:v>
      </x:c>
      <x:c r="D15" s="28" t="str">
        <x:v>黃刀鎮/冰島/羅瓦涅米/特羅姆瑟/羅弗敦</x:v>
      </x:c>
      <x:c r="E15" s="28" t="str">
        <x:v>極光是活動/自然現象，不能單獨判國家。</x:v>
      </x:c>
    </x:row>
    <x:row r="16" ht="56" customHeight="1">
      <x:c r="A16" s="28" t="str">
        <x:v>Safari、非洲動物</x:v>
      </x:c>
      <x:c r="B16" s="28" t="str">
        <x:v>南非</x:v>
      </x:c>
      <x:c r="C16" s="28" t="str">
        <x:v>南非、肯亞、坦尚尼亞、波札那等</x:v>
      </x:c>
      <x:c r="D16" s="28" t="str">
        <x:v>克魯格/開普敦/桌山；或其他國家公園名</x:v>
      </x:c>
      <x:c r="E16" s="28" t="str">
        <x:v>需搭配公園或國家名。</x:v>
      </x:c>
    </x:row>
    <x:row r="17" ht="56" customHeight="1">
      <x:c r="A17" s="28" t="str">
        <x:v>天空之城</x:v>
      </x:c>
      <x:c r="B17" s="28" t="str">
        <x:v>中國/秘魯/其他任一</x:v>
      </x:c>
      <x:c r="C17" s="28" t="str">
        <x:v>中國、秘魯、其他行銷景點</x:v>
      </x:c>
      <x:c r="D17" s="28" t="str">
        <x:v>張家界/武陵源；馬丘比丘/秘魯；實際景點名</x:v>
      </x:c>
      <x:c r="E17" s="28" t="str">
        <x:v>高度模糊，建議人工覆核。</x:v>
      </x:c>
    </x:row>
    <x:row r="18" ht="56" customHeight="1">
      <x:c r="A18" s="28" t="str">
        <x:v>藍白小鎮、希臘風、地中海風</x:v>
      </x:c>
      <x:c r="B18" s="28" t="str">
        <x:v>希臘</x:v>
      </x:c>
      <x:c r="C18" s="28" t="str">
        <x:v>希臘、台灣、韓國、其他仿景/民宿</x:v>
      </x:c>
      <x:c r="D18" s="28" t="str">
        <x:v>聖托里尼/米克諾斯/雅典/愛琴海</x:v>
      </x:c>
      <x:c r="E18" s="28" t="str">
        <x:v>仿景或裝潢風格不可判希臘。</x:v>
      </x:c>
    </x:row>
    <x:row r="19" ht="56" customHeight="1">
      <x:c r="A19" s="28" t="str">
        <x:v>風車、運河、花海</x:v>
      </x:c>
      <x:c r="B19" s="28" t="str">
        <x:v>荷蘭</x:v>
      </x:c>
      <x:c r="C19" s="28" t="str">
        <x:v>荷蘭、日本、台灣、其他花園/園區</x:v>
      </x:c>
      <x:c r="D19" s="28" t="str">
        <x:v>阿姆斯特丹/庫肯霍夫/羊角村/贊瑟斯漢斯</x:v>
      </x:c>
      <x:c r="E19" s="28" t="str">
        <x:v>需要荷蘭強信號。</x:v>
      </x:c>
    </x:row>
  </x:sheetData>
  <x:pageMargins left="0.7" right="0.7" top="0.75" bottom="0.75" header="0.3" footer="0.3"/>
  <x:tableParts count="1">
    <x:tablePart xmlns:r="http://schemas.openxmlformats.org/officeDocument/2006/relationships" r:id="Rd777208c2af543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旅遊 DM 國家識別 Mapping 表 - 使用說明</x:v>
      </x:c>
    </x:row>
    <x:row r="3" ht="24" customHeight="1">
      <x:c r="A3" s="45" t="str">
        <x:v>一、主表維護方式</x:v>
      </x:c>
    </x:row>
    <x:row r="4" ht="36" customHeight="1">
      <x:c r="A4" s="49" t="str">
        <x:v>1. 「國家Mapping表」是一列一個國家/地區；新增國家時，複製任一列後修改國家、區域與關鍵字即可。</x:v>
      </x:c>
    </x:row>
    <x:row r="5" ht="36" customHeight="1">
      <x:c r="A5" s="49" t="str">
        <x:v>2. 「強關鍵字」請放城市、島名、機場、真實景點、園區/品牌名；這些可作為高信心判斷依據。</x:v>
      </x:c>
    </x:row>
    <x:row r="6" ht="36" customHeight="1">
      <x:c r="A6" s="49" t="str">
        <x:v>3. 「要排除/降權關鍵字」請放容易把 AI 帶偏的行銷詞、仿景詞、跨國共用詞，例如威尼斯、小瑞士、迪士尼、極光。</x:v>
      </x:c>
    </x:row>
    <x:row r="7" ht="36" customHeight="1">
      <x:c r="A7" s="49" t="str">
        <x:v>4. 「需人工覆核條件」用來定義只命中弱信號或多國衝突時的處理。</x:v>
      </x:c>
    </x:row>
    <x:row r="8" ht="36" customHeight="1">
      <x:c r="A8" s="49" t="str"/>
    </x:row>
    <x:row r="9" ht="24" customHeight="1">
      <x:c r="A9" s="45" t="str">
        <x:v>二、建議 AI 判斷邏輯</x:v>
      </x:c>
    </x:row>
    <x:row r="10" ht="36" customHeight="1">
      <x:c r="A10" s="49" t="str">
        <x:v>1. 先掃描強關鍵字；命中唯一國家且沒有更強衝突時，輸出該國家。</x:v>
      </x:c>
    </x:row>
    <x:row r="11" ht="36" customHeight="1">
      <x:c r="A11" s="49" t="str">
        <x:v>2. 若只命中排除/降權關鍵字，不可直接輸出國家，應輸出「無法判斷 / 需人工覆核」。</x:v>
      </x:c>
    </x:row>
    <x:row r="12" ht="36" customHeight="1">
      <x:c r="A12" s="49" t="str">
        <x:v>3. 若同時命中多國強關鍵字，優先看國家名、城市名、島名，再看景點名，最後才看行銷詞。</x:v>
      </x:c>
    </x:row>
    <x:row r="13" ht="36" customHeight="1">
      <x:c r="A13" s="49" t="str">
        <x:v>4. 強關鍵字優先於行銷稱呼，例如「富國島 + Grand World + Charm of Venice」應判越南，不判義大利。</x:v>
      </x:c>
    </x:row>
    <x:row r="14" ht="36" customHeight="1">
      <x:c r="A14" s="49" t="str"/>
    </x:row>
    <x:row r="15" ht="24" customHeight="1">
      <x:c r="A15" s="45" t="str">
        <x:v>三、AI Prompt 範本</x:v>
      </x:c>
    </x:row>
    <x:row r="16" ht="36" customHeight="1">
      <x:c r="A16" s="49" t="str">
        <x:v>請依據「國家Mapping表」判斷旅遊 DM 文案所屬國家。判斷時先找強關鍵字，再檢查排除/降權關鍵字。若只有弱信號，例如威尼斯、小瑞士、馬爾地夫級、迪士尼、極光，不可硬判國家，請輸出無法判斷並標記需人工覆核。輸出欄位：國家、命中強關鍵字、命中弱/排除詞、判斷理由、需人工覆核。</x:v>
      </x:c>
    </x:row>
    <x:row r="17" ht="36" customHeight="1">
      <x:c r="A17" s="49" t="str"/>
    </x:row>
    <x:row r="18" ht="24" customHeight="1">
      <x:c r="A18" s="45" t="str">
        <x:v>四、建議維護頻率</x:v>
      </x:c>
    </x:row>
    <x:row r="19" ht="36" customHeight="1">
      <x:c r="A19" s="49" t="str">
        <x:v>每次新增旅遊產品線、國家、園區、飯店品牌或新行銷稱呼時，更新主表與弱信號排除詞庫。</x:v>
      </x:c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54" t="str">
        <x:v>欄位</x:v>
      </x:c>
      <x:c r="B1" s="54" t="str">
        <x:v>可選值 / 說明</x:v>
      </x:c>
    </x:row>
    <x:row r="2">
      <x:c r="A2" s="49" t="str">
        <x:v>預設信心度</x:v>
      </x:c>
      <x:c r="B2" s="49" t="str">
        <x:v>High, Medium, Low</x:v>
      </x:c>
    </x:row>
    <x:row r="3">
      <x:c r="A3" s="49" t="str">
        <x:v>狀態</x:v>
      </x:c>
      <x:c r="B3" s="49" t="str">
        <x:v>啟用, 待確認, 停用</x:v>
      </x:c>
    </x:row>
    <x:row r="4">
      <x:c r="A4" s="49" t="str">
        <x:v>分隔符</x:v>
      </x:c>
      <x:c r="B4" s="49" t="str">
        <x:v>強關鍵字與排除詞請用「、」分隔，方便統計與拆詞。</x:v>
      </x:c>
    </x:row>
    <x:row r="5">
      <x:c r="A5" s="49" t="str">
        <x:v>維護建議</x:v>
      </x:c>
      <x:c r="B5" s="49" t="str">
        <x:v>新增行銷文案詞時，先判斷是否為弱信號；若是，放入排除/降權關鍵字。</x:v>
      </x:c>
    </x:row>
  </x:sheetData>
  <x:pageMargins left="0.7" right="0.7" top="0.75" bottom="0.75" header="0.3" footer="0.3"/>
  <x:tableParts count="1">
    <x:tablePart xmlns:r="http://schemas.openxmlformats.org/officeDocument/2006/relationships" r:id="R431aeb066ee147ba"/>
  </x:tableParts>
</x:worksheet>
</file>